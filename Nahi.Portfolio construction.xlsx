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34C885B-EE92-4AD0-8604-2B5D5B8FB097}" xr6:coauthVersionLast="47" xr6:coauthVersionMax="47" xr10:uidLastSave="{00000000-0000-0000-0000-000000000000}"/>
  <bookViews>
    <workbookView xWindow="-110" yWindow="-110" windowWidth="19420" windowHeight="10300" xr2:uid="{A98AE279-ADE9-4AEA-9E4F-7825A2EC726C}"/>
  </bookViews>
  <sheets>
    <sheet name="Stock Selection" sheetId="1" r:id="rId1"/>
    <sheet name="Price Data" sheetId="2" r:id="rId2"/>
    <sheet name="Cash Dividend" sheetId="3" r:id="rId3"/>
    <sheet name="Stock Dividend" sheetId="4" r:id="rId4"/>
    <sheet name="Right Share Ratio" sheetId="5" r:id="rId5"/>
    <sheet name="Right Share Offer Price" sheetId="10" r:id="rId6"/>
    <sheet name="Split" sheetId="6" r:id="rId7"/>
    <sheet name="Dividend Yield" sheetId="7" r:id="rId8"/>
    <sheet name="Capital Gain" sheetId="8" r:id="rId9"/>
    <sheet name="Total Return" sheetId="9" r:id="rId10"/>
    <sheet name="Covariance" sheetId="12" r:id="rId11"/>
    <sheet name="Equal Weight" sheetId="11" r:id="rId12"/>
    <sheet name="SS &amp; RF Allowed" sheetId="15" r:id="rId13"/>
    <sheet name="SS not allowed, RF allowed" sheetId="36" r:id="rId14"/>
    <sheet name="SS allowed, No RF" sheetId="37" r:id="rId15"/>
    <sheet name="No SS, No RF" sheetId="38" r:id="rId16"/>
    <sheet name="Evaluation" sheetId="19" r:id="rId17"/>
    <sheet name="Attribution" sheetId="25" r:id="rId18"/>
  </sheets>
  <definedNames>
    <definedName name="solver_adj" localSheetId="11" hidden="1">'Equal Weight'!$C$2:$C$21</definedName>
    <definedName name="solver_adj" localSheetId="15" hidden="1">'No SS, No RF'!$M$2:$M$21</definedName>
    <definedName name="solver_adj" localSheetId="12" hidden="1">'SS &amp; RF Allowed'!$R$2:$R$21</definedName>
    <definedName name="solver_adj" localSheetId="14" hidden="1">'SS allowed, No RF'!$R$2:$R$21</definedName>
    <definedName name="solver_adj" localSheetId="13" hidden="1">'SS not allowed, RF allowed'!$M$2:$M$21</definedName>
    <definedName name="solver_cvg" localSheetId="11" hidden="1">0.0001</definedName>
    <definedName name="solver_cvg" localSheetId="15" hidden="1">0.0001</definedName>
    <definedName name="solver_cvg" localSheetId="12" hidden="1">0.0001</definedName>
    <definedName name="solver_cvg" localSheetId="14" hidden="1">0.0001</definedName>
    <definedName name="solver_cvg" localSheetId="13" hidden="1">0.0001</definedName>
    <definedName name="solver_drv" localSheetId="11" hidden="1">1</definedName>
    <definedName name="solver_drv" localSheetId="15" hidden="1">1</definedName>
    <definedName name="solver_drv" localSheetId="12" hidden="1">1</definedName>
    <definedName name="solver_drv" localSheetId="14" hidden="1">1</definedName>
    <definedName name="solver_drv" localSheetId="13" hidden="1">1</definedName>
    <definedName name="solver_eng" localSheetId="11" hidden="1">1</definedName>
    <definedName name="solver_eng" localSheetId="15" hidden="1">1</definedName>
    <definedName name="solver_eng" localSheetId="12" hidden="1">1</definedName>
    <definedName name="solver_eng" localSheetId="14" hidden="1">1</definedName>
    <definedName name="solver_eng" localSheetId="13" hidden="1">1</definedName>
    <definedName name="solver_est" localSheetId="11" hidden="1">1</definedName>
    <definedName name="solver_est" localSheetId="15" hidden="1">1</definedName>
    <definedName name="solver_est" localSheetId="12" hidden="1">1</definedName>
    <definedName name="solver_est" localSheetId="14" hidden="1">1</definedName>
    <definedName name="solver_est" localSheetId="13" hidden="1">1</definedName>
    <definedName name="solver_itr" localSheetId="11" hidden="1">2147483647</definedName>
    <definedName name="solver_itr" localSheetId="15" hidden="1">2147483647</definedName>
    <definedName name="solver_itr" localSheetId="12" hidden="1">2147483647</definedName>
    <definedName name="solver_itr" localSheetId="14" hidden="1">2147483647</definedName>
    <definedName name="solver_itr" localSheetId="13" hidden="1">2147483647</definedName>
    <definedName name="solver_lhs1" localSheetId="11" hidden="1">'Equal Weight'!$C$22</definedName>
    <definedName name="solver_lhs1" localSheetId="15" hidden="1">'No SS, No RF'!$M$22</definedName>
    <definedName name="solver_lhs1" localSheetId="12" hidden="1">'SS &amp; RF Allowed'!$R$22</definedName>
    <definedName name="solver_lhs1" localSheetId="14" hidden="1">'SS allowed, No RF'!$R$22</definedName>
    <definedName name="solver_lhs1" localSheetId="13" hidden="1">'SS not allowed, RF allowed'!$M$22</definedName>
    <definedName name="solver_lhs2" localSheetId="11" hidden="1">'Equal Weight'!$C$2:$C$19</definedName>
    <definedName name="solver_lhs2" localSheetId="15" hidden="1">'No SS, No RF'!$M$25</definedName>
    <definedName name="solver_lhs2" localSheetId="12" hidden="1">'SS &amp; RF Allowed'!$R$27</definedName>
    <definedName name="solver_lhs2" localSheetId="14" hidden="1">'SS allowed, No RF'!$R$27</definedName>
    <definedName name="solver_lhs2" localSheetId="13" hidden="1">'SS not allowed, RF allowed'!$M$27</definedName>
    <definedName name="solver_lhs3" localSheetId="15" hidden="1">'No SS, No RF'!$M$2:$M$21</definedName>
    <definedName name="solver_lhs3" localSheetId="12" hidden="1">'SS &amp; RF Allowed'!$R$2:$R$21</definedName>
    <definedName name="solver_lhs3" localSheetId="14" hidden="1">'SS allowed, No RF'!$R$2:$R$21</definedName>
    <definedName name="solver_lhs3" localSheetId="13" hidden="1">'SS not allowed, RF allowed'!$M$2:$M$21</definedName>
    <definedName name="solver_lhs4" localSheetId="15" hidden="1">'No SS, No RF'!$M$2:$M$21</definedName>
    <definedName name="solver_lhs4" localSheetId="12" hidden="1">'SS &amp; RF Allowed'!$R$2:$R$21</definedName>
    <definedName name="solver_lhs4" localSheetId="14" hidden="1">'SS allowed, No RF'!$R$2:$R$21</definedName>
    <definedName name="solver_lhs4" localSheetId="13" hidden="1">'SS not allowed, RF allowed'!$M$2:$M$21</definedName>
    <definedName name="solver_mip" localSheetId="11" hidden="1">2147483647</definedName>
    <definedName name="solver_mip" localSheetId="15" hidden="1">2147483647</definedName>
    <definedName name="solver_mip" localSheetId="12" hidden="1">2147483647</definedName>
    <definedName name="solver_mip" localSheetId="14" hidden="1">2147483647</definedName>
    <definedName name="solver_mip" localSheetId="13" hidden="1">2147483647</definedName>
    <definedName name="solver_mni" localSheetId="11" hidden="1">30</definedName>
    <definedName name="solver_mni" localSheetId="15" hidden="1">30</definedName>
    <definedName name="solver_mni" localSheetId="12" hidden="1">30</definedName>
    <definedName name="solver_mni" localSheetId="14" hidden="1">30</definedName>
    <definedName name="solver_mni" localSheetId="13" hidden="1">30</definedName>
    <definedName name="solver_mrt" localSheetId="11" hidden="1">0.075</definedName>
    <definedName name="solver_mrt" localSheetId="15" hidden="1">0.075</definedName>
    <definedName name="solver_mrt" localSheetId="12" hidden="1">0.075</definedName>
    <definedName name="solver_mrt" localSheetId="14" hidden="1">0.075</definedName>
    <definedName name="solver_mrt" localSheetId="13" hidden="1">0.075</definedName>
    <definedName name="solver_msl" localSheetId="11" hidden="1">2</definedName>
    <definedName name="solver_msl" localSheetId="15" hidden="1">2</definedName>
    <definedName name="solver_msl" localSheetId="12" hidden="1">2</definedName>
    <definedName name="solver_msl" localSheetId="14" hidden="1">2</definedName>
    <definedName name="solver_msl" localSheetId="13" hidden="1">2</definedName>
    <definedName name="solver_neg" localSheetId="11" hidden="1">2</definedName>
    <definedName name="solver_neg" localSheetId="15" hidden="1">1</definedName>
    <definedName name="solver_neg" localSheetId="12" hidden="1">2</definedName>
    <definedName name="solver_neg" localSheetId="14" hidden="1">2</definedName>
    <definedName name="solver_neg" localSheetId="13" hidden="1">1</definedName>
    <definedName name="solver_nod" localSheetId="11" hidden="1">2147483647</definedName>
    <definedName name="solver_nod" localSheetId="15" hidden="1">2147483647</definedName>
    <definedName name="solver_nod" localSheetId="12" hidden="1">2147483647</definedName>
    <definedName name="solver_nod" localSheetId="14" hidden="1">2147483647</definedName>
    <definedName name="solver_nod" localSheetId="13" hidden="1">2147483647</definedName>
    <definedName name="solver_num" localSheetId="11" hidden="1">1</definedName>
    <definedName name="solver_num" localSheetId="15" hidden="1">4</definedName>
    <definedName name="solver_num" localSheetId="12" hidden="1">4</definedName>
    <definedName name="solver_num" localSheetId="14" hidden="1">4</definedName>
    <definedName name="solver_num" localSheetId="13" hidden="1">4</definedName>
    <definedName name="solver_nwt" localSheetId="11" hidden="1">1</definedName>
    <definedName name="solver_nwt" localSheetId="15" hidden="1">1</definedName>
    <definedName name="solver_nwt" localSheetId="12" hidden="1">1</definedName>
    <definedName name="solver_nwt" localSheetId="14" hidden="1">1</definedName>
    <definedName name="solver_nwt" localSheetId="13" hidden="1">1</definedName>
    <definedName name="solver_opt" localSheetId="11" hidden="1">'Equal Weight'!$C$28</definedName>
    <definedName name="solver_opt" localSheetId="15" hidden="1">'No SS, No RF'!$M$27</definedName>
    <definedName name="solver_opt" localSheetId="12" hidden="1">'SS &amp; RF Allowed'!$R$28</definedName>
    <definedName name="solver_opt" localSheetId="14" hidden="1">'SS allowed, No RF'!$R$28</definedName>
    <definedName name="solver_opt" localSheetId="13" hidden="1">'SS not allowed, RF allowed'!$M$28</definedName>
    <definedName name="solver_pre" localSheetId="11" hidden="1">0.000001</definedName>
    <definedName name="solver_pre" localSheetId="15" hidden="1">0.000001</definedName>
    <definedName name="solver_pre" localSheetId="12" hidden="1">0.000001</definedName>
    <definedName name="solver_pre" localSheetId="14" hidden="1">0.000001</definedName>
    <definedName name="solver_pre" localSheetId="13" hidden="1">0.000001</definedName>
    <definedName name="solver_rbv" localSheetId="11" hidden="1">1</definedName>
    <definedName name="solver_rbv" localSheetId="15" hidden="1">1</definedName>
    <definedName name="solver_rbv" localSheetId="12" hidden="1">1</definedName>
    <definedName name="solver_rbv" localSheetId="14" hidden="1">1</definedName>
    <definedName name="solver_rbv" localSheetId="13" hidden="1">1</definedName>
    <definedName name="solver_rel1" localSheetId="11" hidden="1">2</definedName>
    <definedName name="solver_rel1" localSheetId="15" hidden="1">2</definedName>
    <definedName name="solver_rel1" localSheetId="12" hidden="1">2</definedName>
    <definedName name="solver_rel1" localSheetId="14" hidden="1">2</definedName>
    <definedName name="solver_rel1" localSheetId="13" hidden="1">2</definedName>
    <definedName name="solver_rel2" localSheetId="11" hidden="1">3</definedName>
    <definedName name="solver_rel2" localSheetId="15" hidden="1">3</definedName>
    <definedName name="solver_rel2" localSheetId="12" hidden="1">3</definedName>
    <definedName name="solver_rel2" localSheetId="14" hidden="1">3</definedName>
    <definedName name="solver_rel2" localSheetId="13" hidden="1">3</definedName>
    <definedName name="solver_rel3" localSheetId="15" hidden="1">1</definedName>
    <definedName name="solver_rel3" localSheetId="12" hidden="1">1</definedName>
    <definedName name="solver_rel3" localSheetId="14" hidden="1">1</definedName>
    <definedName name="solver_rel3" localSheetId="13" hidden="1">1</definedName>
    <definedName name="solver_rel4" localSheetId="15" hidden="1">3</definedName>
    <definedName name="solver_rel4" localSheetId="12" hidden="1">3</definedName>
    <definedName name="solver_rel4" localSheetId="14" hidden="1">3</definedName>
    <definedName name="solver_rel4" localSheetId="13" hidden="1">3</definedName>
    <definedName name="solver_rhs1" localSheetId="11" hidden="1">1</definedName>
    <definedName name="solver_rhs1" localSheetId="15" hidden="1">1</definedName>
    <definedName name="solver_rhs1" localSheetId="12" hidden="1">1</definedName>
    <definedName name="solver_rhs1" localSheetId="14" hidden="1">1</definedName>
    <definedName name="solver_rhs1" localSheetId="13" hidden="1">1</definedName>
    <definedName name="solver_rhs2" localSheetId="11" hidden="1">0</definedName>
    <definedName name="solver_rhs2" localSheetId="15" hidden="1">0.02</definedName>
    <definedName name="solver_rhs2" localSheetId="12" hidden="1">0.2</definedName>
    <definedName name="solver_rhs2" localSheetId="14" hidden="1">0.18</definedName>
    <definedName name="solver_rhs2" localSheetId="13" hidden="1">0.07</definedName>
    <definedName name="solver_rhs3" localSheetId="15" hidden="1">2</definedName>
    <definedName name="solver_rhs3" localSheetId="12" hidden="1">2</definedName>
    <definedName name="solver_rhs3" localSheetId="14" hidden="1">2</definedName>
    <definedName name="solver_rhs3" localSheetId="13" hidden="1">2</definedName>
    <definedName name="solver_rhs4" localSheetId="15" hidden="1">0</definedName>
    <definedName name="solver_rhs4" localSheetId="12" hidden="1">-2</definedName>
    <definedName name="solver_rhs4" localSheetId="14" hidden="1">-2</definedName>
    <definedName name="solver_rhs4" localSheetId="13" hidden="1">0</definedName>
    <definedName name="solver_rlx" localSheetId="11" hidden="1">2</definedName>
    <definedName name="solver_rlx" localSheetId="15" hidden="1">2</definedName>
    <definedName name="solver_rlx" localSheetId="12" hidden="1">2</definedName>
    <definedName name="solver_rlx" localSheetId="14" hidden="1">2</definedName>
    <definedName name="solver_rlx" localSheetId="13" hidden="1">2</definedName>
    <definedName name="solver_rsd" localSheetId="11" hidden="1">0</definedName>
    <definedName name="solver_rsd" localSheetId="15" hidden="1">0</definedName>
    <definedName name="solver_rsd" localSheetId="12" hidden="1">0</definedName>
    <definedName name="solver_rsd" localSheetId="14" hidden="1">0</definedName>
    <definedName name="solver_rsd" localSheetId="13" hidden="1">0</definedName>
    <definedName name="solver_scl" localSheetId="11" hidden="1">1</definedName>
    <definedName name="solver_scl" localSheetId="15" hidden="1">1</definedName>
    <definedName name="solver_scl" localSheetId="12" hidden="1">1</definedName>
    <definedName name="solver_scl" localSheetId="14" hidden="1">1</definedName>
    <definedName name="solver_scl" localSheetId="13" hidden="1">1</definedName>
    <definedName name="solver_sho" localSheetId="11" hidden="1">2</definedName>
    <definedName name="solver_sho" localSheetId="15" hidden="1">2</definedName>
    <definedName name="solver_sho" localSheetId="12" hidden="1">2</definedName>
    <definedName name="solver_sho" localSheetId="14" hidden="1">2</definedName>
    <definedName name="solver_sho" localSheetId="13" hidden="1">2</definedName>
    <definedName name="solver_ssz" localSheetId="11" hidden="1">100</definedName>
    <definedName name="solver_ssz" localSheetId="15" hidden="1">100</definedName>
    <definedName name="solver_ssz" localSheetId="12" hidden="1">100</definedName>
    <definedName name="solver_ssz" localSheetId="14" hidden="1">100</definedName>
    <definedName name="solver_ssz" localSheetId="13" hidden="1">100</definedName>
    <definedName name="solver_tim" localSheetId="11" hidden="1">2147483647</definedName>
    <definedName name="solver_tim" localSheetId="15" hidden="1">2147483647</definedName>
    <definedName name="solver_tim" localSheetId="12" hidden="1">2147483647</definedName>
    <definedName name="solver_tim" localSheetId="14" hidden="1">2147483647</definedName>
    <definedName name="solver_tim" localSheetId="13" hidden="1">2147483647</definedName>
    <definedName name="solver_tol" localSheetId="11" hidden="1">0.01</definedName>
    <definedName name="solver_tol" localSheetId="15" hidden="1">0.01</definedName>
    <definedName name="solver_tol" localSheetId="12" hidden="1">0.01</definedName>
    <definedName name="solver_tol" localSheetId="14" hidden="1">0.01</definedName>
    <definedName name="solver_tol" localSheetId="13" hidden="1">0.01</definedName>
    <definedName name="solver_typ" localSheetId="11" hidden="1">1</definedName>
    <definedName name="solver_typ" localSheetId="15" hidden="1">2</definedName>
    <definedName name="solver_typ" localSheetId="12" hidden="1">1</definedName>
    <definedName name="solver_typ" localSheetId="14" hidden="1">1</definedName>
    <definedName name="solver_typ" localSheetId="13" hidden="1">1</definedName>
    <definedName name="solver_val" localSheetId="11" hidden="1">0</definedName>
    <definedName name="solver_val" localSheetId="15" hidden="1">0</definedName>
    <definedName name="solver_val" localSheetId="12" hidden="1">0</definedName>
    <definedName name="solver_val" localSheetId="14" hidden="1">0</definedName>
    <definedName name="solver_val" localSheetId="13" hidden="1">0</definedName>
    <definedName name="solver_ver" localSheetId="11" hidden="1">3</definedName>
    <definedName name="solver_ver" localSheetId="15" hidden="1">3</definedName>
    <definedName name="solver_ver" localSheetId="12" hidden="1">3</definedName>
    <definedName name="solver_ver" localSheetId="14" hidden="1">3</definedName>
    <definedName name="solver_ver" localSheetId="1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25" l="1"/>
  <c r="M14" i="25"/>
  <c r="M12" i="25"/>
  <c r="M11" i="25"/>
  <c r="M8" i="25"/>
  <c r="M9" i="25"/>
  <c r="M10" i="25"/>
  <c r="M7" i="25"/>
  <c r="M6" i="25"/>
  <c r="M5" i="25"/>
  <c r="M4" i="25"/>
  <c r="W27" i="19"/>
  <c r="W26" i="19"/>
  <c r="W25" i="19"/>
  <c r="W24" i="19"/>
  <c r="W23" i="19"/>
  <c r="W22" i="19"/>
  <c r="W21" i="19"/>
  <c r="W20" i="19"/>
  <c r="W19" i="19"/>
  <c r="W13" i="19"/>
  <c r="W12" i="19"/>
  <c r="W11" i="19"/>
  <c r="W10" i="19"/>
  <c r="W9" i="19"/>
  <c r="L108" i="19"/>
  <c r="Q3" i="19"/>
  <c r="P3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3" i="19"/>
  <c r="L3" i="19"/>
  <c r="G63" i="19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4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3" i="19"/>
  <c r="E14" i="25"/>
  <c r="E13" i="25"/>
  <c r="E12" i="25"/>
  <c r="E11" i="25"/>
  <c r="E10" i="25"/>
  <c r="E9" i="25"/>
  <c r="E8" i="25"/>
  <c r="E7" i="25"/>
  <c r="E6" i="25"/>
  <c r="E5" i="25"/>
  <c r="E4" i="25"/>
  <c r="E3" i="25"/>
  <c r="C14" i="25"/>
  <c r="C13" i="25"/>
  <c r="C12" i="25"/>
  <c r="C11" i="25"/>
  <c r="C10" i="25"/>
  <c r="C9" i="25"/>
  <c r="C8" i="25"/>
  <c r="C7" i="25"/>
  <c r="C6" i="25"/>
  <c r="C5" i="25"/>
  <c r="C4" i="25"/>
  <c r="C3" i="25"/>
  <c r="B13" i="25"/>
  <c r="B14" i="25"/>
  <c r="B12" i="25"/>
  <c r="B11" i="25"/>
  <c r="B8" i="25"/>
  <c r="B9" i="25"/>
  <c r="B10" i="25"/>
  <c r="B7" i="25"/>
  <c r="B6" i="25"/>
  <c r="B5" i="25"/>
  <c r="B4" i="25"/>
  <c r="J101" i="19"/>
  <c r="J102" i="19"/>
  <c r="J100" i="19"/>
  <c r="J93" i="19"/>
  <c r="J94" i="19"/>
  <c r="J95" i="19"/>
  <c r="J92" i="19"/>
  <c r="H103" i="19"/>
  <c r="J88" i="19" s="1"/>
  <c r="K102" i="19"/>
  <c r="K101" i="19"/>
  <c r="K100" i="19"/>
  <c r="K99" i="19"/>
  <c r="J99" i="19"/>
  <c r="K95" i="19"/>
  <c r="K94" i="19"/>
  <c r="K93" i="19"/>
  <c r="K92" i="19"/>
  <c r="K91" i="19"/>
  <c r="J91" i="19"/>
  <c r="K88" i="19"/>
  <c r="K86" i="19"/>
  <c r="K84" i="19"/>
  <c r="K103" i="19" s="1"/>
  <c r="J84" i="19"/>
  <c r="B33" i="38"/>
  <c r="A33" i="38"/>
  <c r="B34" i="38"/>
  <c r="A34" i="38"/>
  <c r="C26" i="38" a="1"/>
  <c r="C26" i="38" s="1"/>
  <c r="C27" i="38" s="1"/>
  <c r="C22" i="38"/>
  <c r="R26" i="38" a="1"/>
  <c r="R26" i="38" s="1"/>
  <c r="R27" i="38" s="1"/>
  <c r="A36" i="38" s="1"/>
  <c r="M26" i="38" a="1"/>
  <c r="M26" i="38" s="1"/>
  <c r="M27" i="38" s="1"/>
  <c r="A35" i="38" s="1"/>
  <c r="H26" i="38" a="1"/>
  <c r="H26" i="38" s="1"/>
  <c r="H27" i="38" s="1"/>
  <c r="R25" i="38" a="1"/>
  <c r="R25" i="38" s="1"/>
  <c r="M25" i="38" a="1"/>
  <c r="M25" i="38" s="1"/>
  <c r="H25" i="38" a="1"/>
  <c r="H25" i="38" s="1"/>
  <c r="C25" i="38" a="1"/>
  <c r="C25" i="38" s="1"/>
  <c r="R22" i="38"/>
  <c r="M22" i="38"/>
  <c r="H22" i="38"/>
  <c r="B48" i="37"/>
  <c r="B49" i="37"/>
  <c r="A49" i="37"/>
  <c r="B46" i="37"/>
  <c r="B45" i="37"/>
  <c r="A46" i="37"/>
  <c r="B43" i="37"/>
  <c r="B42" i="37"/>
  <c r="B39" i="37"/>
  <c r="A43" i="37"/>
  <c r="C24" i="37"/>
  <c r="C25" i="37" a="1"/>
  <c r="C25" i="37" s="1"/>
  <c r="B40" i="37"/>
  <c r="A40" i="37"/>
  <c r="R24" i="37"/>
  <c r="M24" i="37"/>
  <c r="H24" i="37"/>
  <c r="R26" i="37" a="1"/>
  <c r="R26" i="37" s="1"/>
  <c r="R27" i="37" s="1"/>
  <c r="A36" i="37" s="1"/>
  <c r="M26" i="37" a="1"/>
  <c r="M26" i="37" s="1"/>
  <c r="M27" i="37" s="1"/>
  <c r="A35" i="37" s="1"/>
  <c r="H26" i="37" a="1"/>
  <c r="H26" i="37" s="1"/>
  <c r="H27" i="37" s="1"/>
  <c r="A33" i="37" s="1"/>
  <c r="R25" i="37" a="1"/>
  <c r="R25" i="37" s="1"/>
  <c r="M25" i="37" a="1"/>
  <c r="M25" i="37" s="1"/>
  <c r="H25" i="37" a="1"/>
  <c r="H25" i="37" s="1"/>
  <c r="R22" i="37"/>
  <c r="M22" i="37"/>
  <c r="H22" i="37"/>
  <c r="B39" i="36"/>
  <c r="R26" i="36" a="1"/>
  <c r="R26" i="36" s="1"/>
  <c r="R27" i="36" s="1"/>
  <c r="A36" i="36" s="1"/>
  <c r="M26" i="36" a="1"/>
  <c r="M26" i="36" s="1"/>
  <c r="M27" i="36" s="1"/>
  <c r="A35" i="36" s="1"/>
  <c r="H26" i="36" a="1"/>
  <c r="H26" i="36" s="1"/>
  <c r="H27" i="36" s="1"/>
  <c r="A33" i="36" s="1"/>
  <c r="C26" i="36" a="1"/>
  <c r="C26" i="36" s="1"/>
  <c r="C27" i="36" s="1"/>
  <c r="R25" i="36" a="1"/>
  <c r="R25" i="36" s="1"/>
  <c r="M25" i="36" a="1"/>
  <c r="M25" i="36" s="1"/>
  <c r="H25" i="36" a="1"/>
  <c r="H25" i="36" s="1"/>
  <c r="C25" i="36" a="1"/>
  <c r="C25" i="36" s="1"/>
  <c r="R24" i="36"/>
  <c r="M24" i="36"/>
  <c r="H24" i="36"/>
  <c r="C24" i="36"/>
  <c r="R22" i="36"/>
  <c r="M22" i="36"/>
  <c r="H22" i="36"/>
  <c r="C22" i="36"/>
  <c r="A40" i="15"/>
  <c r="B40" i="15"/>
  <c r="B39" i="15"/>
  <c r="B36" i="15"/>
  <c r="A36" i="15"/>
  <c r="B35" i="15"/>
  <c r="A35" i="15"/>
  <c r="B34" i="15"/>
  <c r="A34" i="15"/>
  <c r="B33" i="15"/>
  <c r="A33" i="15"/>
  <c r="R22" i="15"/>
  <c r="M22" i="15"/>
  <c r="R26" i="15" a="1"/>
  <c r="R26" i="15" s="1"/>
  <c r="R27" i="15" s="1"/>
  <c r="R25" i="15" a="1"/>
  <c r="R25" i="15" s="1"/>
  <c r="R24" i="15"/>
  <c r="M26" i="15" a="1"/>
  <c r="M26" i="15" s="1"/>
  <c r="M27" i="15" s="1"/>
  <c r="M25" i="15" a="1"/>
  <c r="M25" i="15" s="1"/>
  <c r="M24" i="15"/>
  <c r="H26" i="15" a="1"/>
  <c r="H26" i="15" s="1"/>
  <c r="H27" i="15" s="1"/>
  <c r="H25" i="15" a="1"/>
  <c r="H25" i="15" s="1"/>
  <c r="H24" i="15"/>
  <c r="H22" i="15"/>
  <c r="C26" i="15" a="1"/>
  <c r="C26" i="15" s="1"/>
  <c r="C22" i="15"/>
  <c r="C25" i="15" a="1"/>
  <c r="C25" i="15" s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" i="11"/>
  <c r="C24" i="15"/>
  <c r="C24" i="11"/>
  <c r="U21" i="12"/>
  <c r="T20" i="12"/>
  <c r="S19" i="12"/>
  <c r="R18" i="12"/>
  <c r="Q17" i="12"/>
  <c r="P16" i="12"/>
  <c r="O15" i="12"/>
  <c r="N14" i="12"/>
  <c r="M13" i="12"/>
  <c r="L12" i="12"/>
  <c r="K11" i="12"/>
  <c r="J10" i="12"/>
  <c r="I9" i="12"/>
  <c r="H8" i="12"/>
  <c r="G7" i="12"/>
  <c r="F6" i="12"/>
  <c r="E5" i="12"/>
  <c r="D4" i="12"/>
  <c r="C3" i="12"/>
  <c r="B2" i="12"/>
  <c r="J103" i="19" l="1"/>
  <c r="J86" i="19"/>
  <c r="R28" i="38"/>
  <c r="M28" i="38"/>
  <c r="C28" i="38"/>
  <c r="H28" i="38"/>
  <c r="B35" i="38"/>
  <c r="B36" i="38"/>
  <c r="C22" i="37"/>
  <c r="C26" i="37" a="1"/>
  <c r="C26" i="37" s="1"/>
  <c r="C27" i="37" s="1"/>
  <c r="A34" i="37" s="1"/>
  <c r="B34" i="37"/>
  <c r="B33" i="37"/>
  <c r="H28" i="37"/>
  <c r="M28" i="37"/>
  <c r="B35" i="37"/>
  <c r="B36" i="37"/>
  <c r="R28" i="37"/>
  <c r="H28" i="36"/>
  <c r="B33" i="36"/>
  <c r="M28" i="36"/>
  <c r="B35" i="36"/>
  <c r="B36" i="36"/>
  <c r="R28" i="36"/>
  <c r="A40" i="36"/>
  <c r="A34" i="36"/>
  <c r="C28" i="36"/>
  <c r="B34" i="36"/>
  <c r="B40" i="36"/>
  <c r="M28" i="15"/>
  <c r="R28" i="15"/>
  <c r="H28" i="15"/>
  <c r="C27" i="15"/>
  <c r="C28" i="15" s="1"/>
  <c r="C25" i="11" a="1"/>
  <c r="C25" i="11" s="1"/>
  <c r="C22" i="11"/>
  <c r="C26" i="11" a="1"/>
  <c r="C26" i="11" s="1"/>
  <c r="C27" i="11" s="1"/>
  <c r="C28" i="11" s="1"/>
  <c r="P67" i="9"/>
  <c r="Q67" i="9"/>
  <c r="R67" i="9"/>
  <c r="S67" i="9"/>
  <c r="T67" i="9"/>
  <c r="U67" i="9"/>
  <c r="V67" i="9"/>
  <c r="P68" i="9"/>
  <c r="Q68" i="9"/>
  <c r="R68" i="9"/>
  <c r="S68" i="9"/>
  <c r="T68" i="9"/>
  <c r="U68" i="9"/>
  <c r="V68" i="9"/>
  <c r="P69" i="9"/>
  <c r="Q69" i="9"/>
  <c r="R69" i="9"/>
  <c r="S69" i="9"/>
  <c r="T69" i="9"/>
  <c r="U69" i="9"/>
  <c r="V69" i="9"/>
  <c r="Q41" i="7"/>
  <c r="Q41" i="9" s="1"/>
  <c r="G67" i="9"/>
  <c r="H67" i="9"/>
  <c r="I67" i="9"/>
  <c r="J67" i="9"/>
  <c r="K67" i="9"/>
  <c r="L67" i="9"/>
  <c r="M67" i="9"/>
  <c r="N67" i="9"/>
  <c r="O67" i="9"/>
  <c r="G68" i="9"/>
  <c r="H68" i="9"/>
  <c r="I68" i="9"/>
  <c r="J68" i="9"/>
  <c r="K68" i="9"/>
  <c r="L68" i="9"/>
  <c r="M68" i="9"/>
  <c r="N68" i="9"/>
  <c r="O68" i="9"/>
  <c r="G69" i="9"/>
  <c r="H69" i="9"/>
  <c r="I69" i="9"/>
  <c r="J69" i="9"/>
  <c r="K69" i="9"/>
  <c r="L69" i="9"/>
  <c r="M69" i="9"/>
  <c r="N69" i="9"/>
  <c r="O69" i="9"/>
  <c r="D67" i="9"/>
  <c r="E67" i="9"/>
  <c r="F67" i="9"/>
  <c r="D68" i="9"/>
  <c r="E68" i="9"/>
  <c r="F68" i="9"/>
  <c r="D69" i="9"/>
  <c r="E69" i="9"/>
  <c r="F69" i="9"/>
  <c r="R4" i="9"/>
  <c r="S4" i="9"/>
  <c r="T4" i="9"/>
  <c r="U4" i="9"/>
  <c r="V4" i="9"/>
  <c r="R5" i="9"/>
  <c r="S5" i="9"/>
  <c r="T5" i="9"/>
  <c r="U5" i="9"/>
  <c r="V5" i="9"/>
  <c r="R6" i="9"/>
  <c r="S6" i="9"/>
  <c r="T6" i="9"/>
  <c r="U6" i="9"/>
  <c r="V6" i="9"/>
  <c r="R7" i="9"/>
  <c r="S7" i="9"/>
  <c r="T7" i="9"/>
  <c r="U7" i="9"/>
  <c r="V7" i="9"/>
  <c r="R8" i="9"/>
  <c r="S8" i="9"/>
  <c r="T8" i="9"/>
  <c r="U8" i="9"/>
  <c r="V8" i="9"/>
  <c r="R9" i="9"/>
  <c r="S9" i="9"/>
  <c r="T9" i="9"/>
  <c r="U9" i="9"/>
  <c r="V9" i="9"/>
  <c r="R10" i="9"/>
  <c r="S10" i="9"/>
  <c r="T10" i="9"/>
  <c r="U10" i="9"/>
  <c r="V10" i="9"/>
  <c r="R11" i="9"/>
  <c r="S11" i="9"/>
  <c r="T11" i="9"/>
  <c r="U11" i="9"/>
  <c r="V11" i="9"/>
  <c r="R12" i="9"/>
  <c r="S12" i="9"/>
  <c r="T12" i="9"/>
  <c r="U12" i="9"/>
  <c r="V12" i="9"/>
  <c r="R13" i="9"/>
  <c r="S13" i="9"/>
  <c r="T13" i="9"/>
  <c r="U13" i="9"/>
  <c r="V13" i="9"/>
  <c r="R14" i="9"/>
  <c r="S14" i="9"/>
  <c r="T14" i="9"/>
  <c r="U14" i="9"/>
  <c r="V14" i="9"/>
  <c r="R15" i="9"/>
  <c r="S15" i="9"/>
  <c r="T15" i="9"/>
  <c r="U15" i="9"/>
  <c r="V15" i="9"/>
  <c r="R16" i="9"/>
  <c r="S16" i="9"/>
  <c r="T16" i="9"/>
  <c r="U16" i="9"/>
  <c r="V16" i="9"/>
  <c r="R17" i="9"/>
  <c r="S17" i="9"/>
  <c r="T17" i="9"/>
  <c r="U17" i="9"/>
  <c r="V17" i="9"/>
  <c r="R18" i="9"/>
  <c r="S18" i="9"/>
  <c r="T18" i="9"/>
  <c r="U18" i="9"/>
  <c r="V18" i="9"/>
  <c r="R19" i="9"/>
  <c r="S19" i="9"/>
  <c r="T19" i="9"/>
  <c r="U19" i="9"/>
  <c r="V19" i="9"/>
  <c r="R20" i="9"/>
  <c r="S20" i="9"/>
  <c r="T20" i="9"/>
  <c r="U20" i="9"/>
  <c r="V20" i="9"/>
  <c r="R21" i="9"/>
  <c r="S21" i="9"/>
  <c r="T21" i="9"/>
  <c r="U21" i="9"/>
  <c r="V21" i="9"/>
  <c r="R22" i="9"/>
  <c r="S22" i="9"/>
  <c r="T22" i="9"/>
  <c r="U22" i="9"/>
  <c r="V22" i="9"/>
  <c r="R23" i="9"/>
  <c r="S23" i="9"/>
  <c r="T23" i="9"/>
  <c r="U23" i="9"/>
  <c r="V23" i="9"/>
  <c r="R24" i="9"/>
  <c r="S24" i="9"/>
  <c r="T24" i="9"/>
  <c r="U24" i="9"/>
  <c r="V24" i="9"/>
  <c r="R25" i="9"/>
  <c r="S25" i="9"/>
  <c r="T25" i="9"/>
  <c r="U25" i="9"/>
  <c r="V25" i="9"/>
  <c r="R26" i="9"/>
  <c r="S26" i="9"/>
  <c r="T26" i="9"/>
  <c r="U26" i="9"/>
  <c r="V26" i="9"/>
  <c r="R27" i="9"/>
  <c r="S27" i="9"/>
  <c r="T27" i="9"/>
  <c r="U27" i="9"/>
  <c r="V27" i="9"/>
  <c r="R28" i="9"/>
  <c r="S28" i="9"/>
  <c r="T28" i="9"/>
  <c r="U28" i="9"/>
  <c r="V28" i="9"/>
  <c r="R29" i="9"/>
  <c r="S29" i="9"/>
  <c r="T29" i="9"/>
  <c r="U29" i="9"/>
  <c r="V29" i="9"/>
  <c r="R30" i="9"/>
  <c r="S30" i="9"/>
  <c r="T30" i="9"/>
  <c r="U30" i="9"/>
  <c r="V30" i="9"/>
  <c r="R31" i="9"/>
  <c r="S31" i="9"/>
  <c r="T31" i="9"/>
  <c r="U31" i="9"/>
  <c r="V31" i="9"/>
  <c r="R32" i="9"/>
  <c r="S32" i="9"/>
  <c r="T32" i="9"/>
  <c r="U32" i="9"/>
  <c r="V32" i="9"/>
  <c r="R33" i="9"/>
  <c r="S33" i="9"/>
  <c r="T33" i="9"/>
  <c r="U33" i="9"/>
  <c r="V33" i="9"/>
  <c r="R34" i="9"/>
  <c r="S34" i="9"/>
  <c r="T34" i="9"/>
  <c r="U34" i="9"/>
  <c r="V34" i="9"/>
  <c r="R35" i="9"/>
  <c r="S35" i="9"/>
  <c r="T35" i="9"/>
  <c r="U35" i="9"/>
  <c r="V35" i="9"/>
  <c r="R36" i="9"/>
  <c r="S36" i="9"/>
  <c r="T36" i="9"/>
  <c r="U36" i="9"/>
  <c r="V36" i="9"/>
  <c r="R37" i="9"/>
  <c r="S37" i="9"/>
  <c r="T37" i="9"/>
  <c r="U37" i="9"/>
  <c r="V37" i="9"/>
  <c r="R38" i="9"/>
  <c r="S38" i="9"/>
  <c r="T38" i="9"/>
  <c r="U38" i="9"/>
  <c r="V38" i="9"/>
  <c r="R39" i="9"/>
  <c r="S39" i="9"/>
  <c r="T39" i="9"/>
  <c r="U39" i="9"/>
  <c r="V39" i="9"/>
  <c r="R40" i="9"/>
  <c r="S40" i="9"/>
  <c r="T40" i="9"/>
  <c r="U40" i="9"/>
  <c r="V40" i="9"/>
  <c r="R41" i="9"/>
  <c r="S41" i="9"/>
  <c r="T41" i="9"/>
  <c r="U41" i="9"/>
  <c r="V41" i="9"/>
  <c r="R42" i="9"/>
  <c r="S42" i="9"/>
  <c r="T42" i="9"/>
  <c r="U42" i="9"/>
  <c r="V42" i="9"/>
  <c r="R43" i="9"/>
  <c r="S43" i="9"/>
  <c r="T43" i="9"/>
  <c r="U43" i="9"/>
  <c r="V43" i="9"/>
  <c r="R44" i="9"/>
  <c r="S44" i="9"/>
  <c r="T44" i="9"/>
  <c r="U44" i="9"/>
  <c r="V44" i="9"/>
  <c r="R45" i="9"/>
  <c r="S45" i="9"/>
  <c r="T45" i="9"/>
  <c r="U45" i="9"/>
  <c r="V45" i="9"/>
  <c r="R46" i="9"/>
  <c r="S46" i="9"/>
  <c r="T46" i="9"/>
  <c r="U46" i="9"/>
  <c r="V46" i="9"/>
  <c r="R47" i="9"/>
  <c r="S47" i="9"/>
  <c r="T47" i="9"/>
  <c r="U47" i="9"/>
  <c r="V47" i="9"/>
  <c r="R48" i="9"/>
  <c r="S48" i="9"/>
  <c r="T48" i="9"/>
  <c r="U48" i="9"/>
  <c r="V48" i="9"/>
  <c r="R49" i="9"/>
  <c r="S49" i="9"/>
  <c r="T49" i="9"/>
  <c r="U49" i="9"/>
  <c r="V49" i="9"/>
  <c r="R50" i="9"/>
  <c r="S50" i="9"/>
  <c r="T50" i="9"/>
  <c r="U50" i="9"/>
  <c r="V50" i="9"/>
  <c r="R51" i="9"/>
  <c r="S51" i="9"/>
  <c r="T51" i="9"/>
  <c r="U51" i="9"/>
  <c r="V51" i="9"/>
  <c r="R52" i="9"/>
  <c r="S52" i="9"/>
  <c r="T52" i="9"/>
  <c r="U52" i="9"/>
  <c r="V52" i="9"/>
  <c r="R53" i="9"/>
  <c r="S53" i="9"/>
  <c r="T53" i="9"/>
  <c r="U53" i="9"/>
  <c r="V53" i="9"/>
  <c r="R54" i="9"/>
  <c r="S54" i="9"/>
  <c r="T54" i="9"/>
  <c r="U54" i="9"/>
  <c r="V54" i="9"/>
  <c r="R55" i="9"/>
  <c r="S55" i="9"/>
  <c r="T55" i="9"/>
  <c r="U55" i="9"/>
  <c r="V55" i="9"/>
  <c r="R56" i="9"/>
  <c r="S56" i="9"/>
  <c r="T56" i="9"/>
  <c r="U56" i="9"/>
  <c r="V56" i="9"/>
  <c r="R57" i="9"/>
  <c r="S57" i="9"/>
  <c r="T57" i="9"/>
  <c r="U57" i="9"/>
  <c r="V57" i="9"/>
  <c r="R58" i="9"/>
  <c r="S58" i="9"/>
  <c r="T58" i="9"/>
  <c r="U58" i="9"/>
  <c r="V58" i="9"/>
  <c r="R59" i="9"/>
  <c r="S59" i="9"/>
  <c r="T59" i="9"/>
  <c r="U59" i="9"/>
  <c r="V59" i="9"/>
  <c r="R60" i="9"/>
  <c r="S60" i="9"/>
  <c r="T60" i="9"/>
  <c r="U60" i="9"/>
  <c r="V60" i="9"/>
  <c r="R61" i="9"/>
  <c r="S61" i="9"/>
  <c r="T61" i="9"/>
  <c r="U61" i="9"/>
  <c r="V61" i="9"/>
  <c r="R62" i="9"/>
  <c r="S62" i="9"/>
  <c r="T62" i="9"/>
  <c r="U62" i="9"/>
  <c r="V62" i="9"/>
  <c r="R63" i="9"/>
  <c r="S63" i="9"/>
  <c r="T63" i="9"/>
  <c r="U63" i="9"/>
  <c r="V63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Q52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Q60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Q62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5" i="8"/>
  <c r="C6" i="8"/>
  <c r="C7" i="8"/>
  <c r="U4" i="7"/>
  <c r="V4" i="7"/>
  <c r="U5" i="7"/>
  <c r="V5" i="7"/>
  <c r="U6" i="7"/>
  <c r="V6" i="7"/>
  <c r="U7" i="7"/>
  <c r="V7" i="7"/>
  <c r="U8" i="7"/>
  <c r="V8" i="7"/>
  <c r="U9" i="7"/>
  <c r="V9" i="7"/>
  <c r="U10" i="7"/>
  <c r="V10" i="7"/>
  <c r="U11" i="7"/>
  <c r="V11" i="7"/>
  <c r="U12" i="7"/>
  <c r="V12" i="7"/>
  <c r="U13" i="7"/>
  <c r="V13" i="7"/>
  <c r="U14" i="7"/>
  <c r="V14" i="7"/>
  <c r="U15" i="7"/>
  <c r="V15" i="7"/>
  <c r="U16" i="7"/>
  <c r="V16" i="7"/>
  <c r="U17" i="7"/>
  <c r="V17" i="7"/>
  <c r="U18" i="7"/>
  <c r="V18" i="7"/>
  <c r="U19" i="7"/>
  <c r="V19" i="7"/>
  <c r="U20" i="7"/>
  <c r="V20" i="7"/>
  <c r="U21" i="7"/>
  <c r="V21" i="7"/>
  <c r="U22" i="7"/>
  <c r="V22" i="7"/>
  <c r="U23" i="7"/>
  <c r="V23" i="7"/>
  <c r="U24" i="7"/>
  <c r="V24" i="7"/>
  <c r="U25" i="7"/>
  <c r="V25" i="7"/>
  <c r="U26" i="7"/>
  <c r="V26" i="7"/>
  <c r="U27" i="7"/>
  <c r="V27" i="7"/>
  <c r="U28" i="7"/>
  <c r="V28" i="7"/>
  <c r="U29" i="7"/>
  <c r="V29" i="7"/>
  <c r="U30" i="7"/>
  <c r="V30" i="7"/>
  <c r="U31" i="7"/>
  <c r="V31" i="7"/>
  <c r="U32" i="7"/>
  <c r="V32" i="7"/>
  <c r="U33" i="7"/>
  <c r="V33" i="7"/>
  <c r="U34" i="7"/>
  <c r="V34" i="7"/>
  <c r="U35" i="7"/>
  <c r="V35" i="7"/>
  <c r="U36" i="7"/>
  <c r="V36" i="7"/>
  <c r="U37" i="7"/>
  <c r="V37" i="7"/>
  <c r="U38" i="7"/>
  <c r="V38" i="7"/>
  <c r="U39" i="7"/>
  <c r="V39" i="7"/>
  <c r="U40" i="7"/>
  <c r="V40" i="7"/>
  <c r="U41" i="7"/>
  <c r="V41" i="7"/>
  <c r="U42" i="7"/>
  <c r="V42" i="7"/>
  <c r="U43" i="7"/>
  <c r="V43" i="7"/>
  <c r="U44" i="7"/>
  <c r="V44" i="7"/>
  <c r="U45" i="7"/>
  <c r="V45" i="7"/>
  <c r="U46" i="7"/>
  <c r="V46" i="7"/>
  <c r="U47" i="7"/>
  <c r="V47" i="7"/>
  <c r="U48" i="7"/>
  <c r="V48" i="7"/>
  <c r="U49" i="7"/>
  <c r="V49" i="7"/>
  <c r="U50" i="7"/>
  <c r="V50" i="7"/>
  <c r="U51" i="7"/>
  <c r="V51" i="7"/>
  <c r="U52" i="7"/>
  <c r="V52" i="7"/>
  <c r="U53" i="7"/>
  <c r="V53" i="7"/>
  <c r="U54" i="7"/>
  <c r="V54" i="7"/>
  <c r="U55" i="7"/>
  <c r="V55" i="7"/>
  <c r="U56" i="7"/>
  <c r="V56" i="7"/>
  <c r="U57" i="7"/>
  <c r="V57" i="7"/>
  <c r="U58" i="7"/>
  <c r="V58" i="7"/>
  <c r="U59" i="7"/>
  <c r="V59" i="7"/>
  <c r="U60" i="7"/>
  <c r="V60" i="7"/>
  <c r="U61" i="7"/>
  <c r="V61" i="7"/>
  <c r="U62" i="7"/>
  <c r="V62" i="7"/>
  <c r="U63" i="7"/>
  <c r="V63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R41" i="7"/>
  <c r="S41" i="7"/>
  <c r="T41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Q42" i="9" s="1"/>
  <c r="R42" i="7"/>
  <c r="S42" i="7"/>
  <c r="T42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S11" i="3"/>
  <c r="R61" i="3"/>
  <c r="R48" i="3"/>
  <c r="R12" i="3"/>
  <c r="L5" i="3"/>
  <c r="I54" i="3"/>
  <c r="I42" i="3"/>
  <c r="I30" i="3"/>
  <c r="I18" i="3"/>
  <c r="I6" i="3"/>
  <c r="H60" i="3"/>
  <c r="H49" i="3"/>
  <c r="H36" i="3"/>
  <c r="H24" i="3"/>
  <c r="H12" i="3"/>
  <c r="G59" i="3"/>
  <c r="G47" i="3"/>
  <c r="G36" i="3"/>
  <c r="G24" i="3"/>
  <c r="G11" i="3"/>
  <c r="F61" i="3"/>
  <c r="F48" i="3"/>
  <c r="F35" i="3"/>
  <c r="F23" i="3"/>
  <c r="F10" i="3"/>
  <c r="E61" i="3"/>
  <c r="E48" i="3"/>
  <c r="E35" i="3"/>
  <c r="E22" i="3"/>
  <c r="E10" i="3"/>
  <c r="D60" i="3"/>
  <c r="D48" i="3"/>
  <c r="D37" i="3"/>
  <c r="D25" i="3"/>
  <c r="D13" i="3"/>
  <c r="U4" i="25"/>
  <c r="U5" i="25"/>
  <c r="U6" i="25"/>
  <c r="U7" i="25"/>
  <c r="U8" i="25"/>
  <c r="U9" i="25"/>
  <c r="U10" i="25"/>
  <c r="U11" i="25"/>
  <c r="U12" i="25"/>
  <c r="U13" i="25"/>
  <c r="U14" i="25"/>
  <c r="U3" i="25"/>
  <c r="K3" i="25"/>
  <c r="S4" i="25"/>
  <c r="S5" i="25"/>
  <c r="S6" i="25"/>
  <c r="S7" i="25"/>
  <c r="S8" i="25"/>
  <c r="S9" i="25"/>
  <c r="S10" i="25"/>
  <c r="S11" i="25"/>
  <c r="S12" i="25"/>
  <c r="S13" i="25"/>
  <c r="S14" i="25"/>
  <c r="S3" i="25"/>
  <c r="N3" i="25"/>
  <c r="K4" i="25"/>
  <c r="K5" i="25"/>
  <c r="K6" i="25"/>
  <c r="K7" i="25"/>
  <c r="K8" i="25"/>
  <c r="K9" i="25"/>
  <c r="K10" i="25"/>
  <c r="K11" i="25"/>
  <c r="K12" i="25"/>
  <c r="K13" i="25"/>
  <c r="K14" i="25"/>
  <c r="C28" i="37" l="1"/>
  <c r="N4" i="25"/>
  <c r="N5" i="25"/>
  <c r="N6" i="25"/>
  <c r="N7" i="25"/>
  <c r="N8" i="25"/>
  <c r="N9" i="25"/>
  <c r="N10" i="25"/>
  <c r="N11" i="25"/>
  <c r="N12" i="25"/>
  <c r="N13" i="25"/>
  <c r="N14" i="25"/>
  <c r="R12" i="25"/>
  <c r="J12" i="25" l="1"/>
  <c r="L12" i="25" s="1"/>
  <c r="D12" i="25"/>
  <c r="T12" i="25"/>
  <c r="V12" i="25" s="1"/>
  <c r="O12" i="25"/>
  <c r="P12" i="25" l="1"/>
  <c r="C4" i="8"/>
  <c r="R10" i="25" l="1"/>
  <c r="T10" i="25" s="1"/>
  <c r="V10" i="25" s="1"/>
  <c r="O10" i="25"/>
  <c r="R6" i="25"/>
  <c r="T6" i="25" s="1"/>
  <c r="V6" i="25" s="1"/>
  <c r="O6" i="25"/>
  <c r="R5" i="25"/>
  <c r="T5" i="25" s="1"/>
  <c r="V5" i="25" s="1"/>
  <c r="O5" i="25"/>
  <c r="D6" i="25"/>
  <c r="J6" i="25"/>
  <c r="L6" i="25" s="1"/>
  <c r="J13" i="25"/>
  <c r="L13" i="25" s="1"/>
  <c r="D13" i="25"/>
  <c r="R13" i="25"/>
  <c r="T13" i="25" s="1"/>
  <c r="V13" i="25" s="1"/>
  <c r="O13" i="25"/>
  <c r="D7" i="25"/>
  <c r="J7" i="25"/>
  <c r="L7" i="25" s="1"/>
  <c r="R7" i="25"/>
  <c r="T7" i="25" s="1"/>
  <c r="V7" i="25" s="1"/>
  <c r="O7" i="25"/>
  <c r="R11" i="25"/>
  <c r="T11" i="25" s="1"/>
  <c r="V11" i="25" s="1"/>
  <c r="O11" i="25"/>
  <c r="B3" i="25"/>
  <c r="D8" i="25"/>
  <c r="J8" i="25"/>
  <c r="L8" i="25" s="1"/>
  <c r="J14" i="25"/>
  <c r="L14" i="25" s="1"/>
  <c r="D14" i="25"/>
  <c r="R14" i="25"/>
  <c r="T14" i="25" s="1"/>
  <c r="V14" i="25" s="1"/>
  <c r="O14" i="25"/>
  <c r="J9" i="25"/>
  <c r="L9" i="25" s="1"/>
  <c r="D9" i="25"/>
  <c r="J11" i="25"/>
  <c r="L11" i="25" s="1"/>
  <c r="D11" i="25"/>
  <c r="M3" i="25"/>
  <c r="R8" i="25"/>
  <c r="T8" i="25" s="1"/>
  <c r="V8" i="25" s="1"/>
  <c r="O8" i="25"/>
  <c r="J4" i="25"/>
  <c r="L4" i="25" s="1"/>
  <c r="D4" i="25"/>
  <c r="R9" i="25"/>
  <c r="T9" i="25" s="1"/>
  <c r="V9" i="25" s="1"/>
  <c r="O9" i="25"/>
  <c r="R4" i="25"/>
  <c r="T4" i="25" s="1"/>
  <c r="V4" i="25" s="1"/>
  <c r="O4" i="25"/>
  <c r="D5" i="25"/>
  <c r="J5" i="25"/>
  <c r="L5" i="25" s="1"/>
  <c r="J10" i="25"/>
  <c r="L10" i="25" s="1"/>
  <c r="D10" i="25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4" i="19"/>
  <c r="P8" i="25" l="1"/>
  <c r="P9" i="25"/>
  <c r="P14" i="25"/>
  <c r="P11" i="25"/>
  <c r="P5" i="25"/>
  <c r="P7" i="25"/>
  <c r="D3" i="25"/>
  <c r="J3" i="25"/>
  <c r="B15" i="25"/>
  <c r="P6" i="25"/>
  <c r="R3" i="25"/>
  <c r="T3" i="25" s="1"/>
  <c r="V3" i="25" s="1"/>
  <c r="V15" i="25" s="1"/>
  <c r="O3" i="25"/>
  <c r="P13" i="25"/>
  <c r="P10" i="25"/>
  <c r="P4" i="25"/>
  <c r="O4" i="19"/>
  <c r="L3" i="25" l="1"/>
  <c r="P3" i="25" s="1"/>
  <c r="P15" i="25" s="1"/>
  <c r="J15" i="25"/>
  <c r="F3" i="25"/>
  <c r="G3" i="25" l="1"/>
  <c r="H3" i="25" s="1"/>
  <c r="F4" i="25"/>
  <c r="G4" i="25" l="1"/>
  <c r="H4" i="25" s="1"/>
  <c r="F5" i="25"/>
  <c r="G5" i="25" l="1"/>
  <c r="H5" i="25" s="1"/>
  <c r="F6" i="25"/>
  <c r="F7" i="25" l="1"/>
  <c r="G6" i="25"/>
  <c r="H6" i="25" s="1"/>
  <c r="F8" i="25" l="1"/>
  <c r="G7" i="25"/>
  <c r="H7" i="25" s="1"/>
  <c r="F9" i="25" l="1"/>
  <c r="G8" i="25"/>
  <c r="H8" i="25" s="1"/>
  <c r="F10" i="25" l="1"/>
  <c r="G9" i="25"/>
  <c r="H9" i="25" s="1"/>
  <c r="F11" i="25" l="1"/>
  <c r="G10" i="25"/>
  <c r="H10" i="25" s="1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4" i="9" s="1"/>
  <c r="J39" i="19" l="1"/>
  <c r="F12" i="25"/>
  <c r="G11" i="25"/>
  <c r="H11" i="25" s="1"/>
  <c r="J53" i="19" l="1"/>
  <c r="J38" i="19"/>
  <c r="J42" i="19"/>
  <c r="J13" i="19"/>
  <c r="J48" i="19"/>
  <c r="J35" i="19"/>
  <c r="J11" i="19"/>
  <c r="J40" i="19"/>
  <c r="J36" i="19"/>
  <c r="J17" i="19"/>
  <c r="J44" i="19"/>
  <c r="J56" i="19"/>
  <c r="J12" i="19"/>
  <c r="J27" i="19"/>
  <c r="J16" i="19"/>
  <c r="J8" i="19"/>
  <c r="J43" i="19"/>
  <c r="J62" i="19"/>
  <c r="J15" i="19"/>
  <c r="J7" i="19"/>
  <c r="J5" i="19"/>
  <c r="J34" i="19"/>
  <c r="J28" i="19"/>
  <c r="J14" i="19"/>
  <c r="G4" i="19"/>
  <c r="J4" i="19" s="1"/>
  <c r="J18" i="19"/>
  <c r="J6" i="19"/>
  <c r="J50" i="19"/>
  <c r="J10" i="19"/>
  <c r="C69" i="9"/>
  <c r="J9" i="19"/>
  <c r="J37" i="19"/>
  <c r="J57" i="19"/>
  <c r="J41" i="19"/>
  <c r="C67" i="9"/>
  <c r="C68" i="9"/>
  <c r="J61" i="19"/>
  <c r="J52" i="19"/>
  <c r="J49" i="19"/>
  <c r="J24" i="19"/>
  <c r="J30" i="19"/>
  <c r="J22" i="19"/>
  <c r="J19" i="19"/>
  <c r="J51" i="19"/>
  <c r="J31" i="19"/>
  <c r="J25" i="19"/>
  <c r="J26" i="19"/>
  <c r="J63" i="19"/>
  <c r="J47" i="19"/>
  <c r="J55" i="19"/>
  <c r="J20" i="19"/>
  <c r="F13" i="25"/>
  <c r="G12" i="25"/>
  <c r="H12" i="25" s="1"/>
  <c r="J32" i="19"/>
  <c r="J46" i="19"/>
  <c r="J21" i="19"/>
  <c r="J33" i="19"/>
  <c r="J59" i="19"/>
  <c r="J23" i="19"/>
  <c r="J58" i="19"/>
  <c r="J54" i="19"/>
  <c r="J45" i="19"/>
  <c r="J29" i="19"/>
  <c r="J60" i="19"/>
  <c r="H3" i="19" l="1"/>
  <c r="I3" i="19"/>
  <c r="F14" i="25"/>
  <c r="G14" i="25" s="1"/>
  <c r="H14" i="25" s="1"/>
  <c r="G13" i="25"/>
  <c r="H13" i="25" s="1"/>
  <c r="K3" i="19"/>
  <c r="H15" i="25" l="1"/>
  <c r="N20" i="2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<sst xmlns="http://schemas.openxmlformats.org/spreadsheetml/2006/main" count="1848" uniqueCount="186">
  <si>
    <t>Year</t>
  </si>
  <si>
    <t>P/E</t>
  </si>
  <si>
    <t>NAV</t>
  </si>
  <si>
    <t>ROA</t>
  </si>
  <si>
    <t>ROE</t>
  </si>
  <si>
    <t>NPM</t>
  </si>
  <si>
    <t>1. BRAC Bank</t>
  </si>
  <si>
    <t>9. Olympic Industries</t>
  </si>
  <si>
    <t>14. Renata Pharmacuticals</t>
  </si>
  <si>
    <t>15. Marico</t>
  </si>
  <si>
    <t>16. Reckitt Benckiser Bd</t>
  </si>
  <si>
    <t>17. GP</t>
  </si>
  <si>
    <t>Bank</t>
  </si>
  <si>
    <t>Months</t>
  </si>
  <si>
    <t>Years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</si>
  <si>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</si>
  <si>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</si>
  <si>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</si>
  <si>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</si>
  <si>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</si>
  <si>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</si>
  <si>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</si>
  <si>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</si>
  <si>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</si>
  <si>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</si>
  <si>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</si>
  <si>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</si>
  <si>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Cement</t>
  </si>
  <si>
    <t>Ceramic</t>
  </si>
  <si>
    <t>Engineering</t>
  </si>
  <si>
    <t>Food &amp; Allied</t>
  </si>
  <si>
    <t>Fuel &amp; Power</t>
  </si>
  <si>
    <t>Insurance</t>
  </si>
  <si>
    <t>Pharmacuticals &amp; Chemicals</t>
  </si>
  <si>
    <t>Telecommunication</t>
  </si>
  <si>
    <t>Tannery</t>
  </si>
  <si>
    <t>GP</t>
  </si>
  <si>
    <t xml:space="preserve">  </t>
  </si>
  <si>
    <t>Mean Return</t>
  </si>
  <si>
    <t>Standard Deviation</t>
  </si>
  <si>
    <t>Variance</t>
  </si>
  <si>
    <t>Name</t>
  </si>
  <si>
    <t>Return</t>
  </si>
  <si>
    <t>Weight</t>
  </si>
  <si>
    <t xml:space="preserve">Monthly risk free rate </t>
  </si>
  <si>
    <t xml:space="preserve">Portfolio Variance </t>
  </si>
  <si>
    <t xml:space="preserve">Portfolio standard deviation </t>
  </si>
  <si>
    <t>Slope</t>
  </si>
  <si>
    <t>Portfolio</t>
  </si>
  <si>
    <t>DSE-X</t>
  </si>
  <si>
    <t>Portfolio Beta</t>
  </si>
  <si>
    <t>Date</t>
  </si>
  <si>
    <t>Market Return</t>
  </si>
  <si>
    <t>% Change</t>
  </si>
  <si>
    <t>Market Risk</t>
  </si>
  <si>
    <t>Active Return</t>
  </si>
  <si>
    <t>Active Risk</t>
  </si>
  <si>
    <t>TSD</t>
  </si>
  <si>
    <t>Sharpe Ratio</t>
  </si>
  <si>
    <t>Treynor Ratio</t>
  </si>
  <si>
    <t>Jensen's Alpha</t>
  </si>
  <si>
    <t>Information Ratio</t>
  </si>
  <si>
    <t>Sortino ratio</t>
  </si>
  <si>
    <t>Total return (Equal weight)</t>
  </si>
  <si>
    <t>Sector Weight</t>
  </si>
  <si>
    <t>Average Return</t>
  </si>
  <si>
    <t xml:space="preserve">Portfolio Return </t>
  </si>
  <si>
    <t>Equal Weight</t>
  </si>
  <si>
    <t>Portfolio Return</t>
  </si>
  <si>
    <t>Using Solver</t>
  </si>
  <si>
    <t xml:space="preserve">Pure Sector Allocation </t>
  </si>
  <si>
    <t>Allocation Selection Interaction</t>
  </si>
  <si>
    <t>Within Sector Selection</t>
  </si>
  <si>
    <t xml:space="preserve">Sectors </t>
  </si>
  <si>
    <t>Portfolio Weights in ith Sector</t>
  </si>
  <si>
    <t>Benchmark weight in ith Sector</t>
  </si>
  <si>
    <t>(Wpj-Wbj)</t>
  </si>
  <si>
    <t>Benchmark Return of ith Sector</t>
  </si>
  <si>
    <t>Overall Benchmark Return</t>
  </si>
  <si>
    <t>(rBj-rB)</t>
  </si>
  <si>
    <t xml:space="preserve">Output </t>
  </si>
  <si>
    <t>Benchmark Weight in ith Sector</t>
  </si>
  <si>
    <t>Portfolio Return of ith Sector</t>
  </si>
  <si>
    <t>(rPj-rBj)</t>
  </si>
  <si>
    <t>Benchmark Weight of ith Sector</t>
  </si>
  <si>
    <t>Pharmaceuticals &amp; Chemicals</t>
  </si>
  <si>
    <t>Total</t>
  </si>
  <si>
    <t>Risk Free rate</t>
  </si>
  <si>
    <t>Downside Risk</t>
  </si>
  <si>
    <t>Portfolio standard deviation</t>
  </si>
  <si>
    <t>Actirve Return</t>
  </si>
  <si>
    <t>EPS</t>
  </si>
  <si>
    <t>2. NCC Bank</t>
  </si>
  <si>
    <t>3. IPDC</t>
  </si>
  <si>
    <t>5. Paramount</t>
  </si>
  <si>
    <t>6. Asia Pecific General Insurance PLC</t>
  </si>
  <si>
    <t>7. Lovello</t>
  </si>
  <si>
    <t>8. Finefood</t>
  </si>
  <si>
    <t>13. IBN SINA</t>
  </si>
  <si>
    <t>12. Confidence Cement</t>
  </si>
  <si>
    <t>11. Apex footwear Ltd.</t>
  </si>
  <si>
    <t>10. Index Agro</t>
  </si>
  <si>
    <t>18. KDSALTD</t>
  </si>
  <si>
    <t>20. Jamunaoil</t>
  </si>
  <si>
    <t>19. ADN Telecom Limited</t>
  </si>
  <si>
    <t>NCC</t>
  </si>
  <si>
    <t>IPDC</t>
  </si>
  <si>
    <t>DBH</t>
  </si>
  <si>
    <t>Financial Institutions</t>
  </si>
  <si>
    <t xml:space="preserve"> PARAMOUNT</t>
  </si>
  <si>
    <t>ASIAPACINS</t>
  </si>
  <si>
    <t>LOVELLO</t>
  </si>
  <si>
    <t>FINEFOODS</t>
  </si>
  <si>
    <t>OLYMPIC</t>
  </si>
  <si>
    <t>INDEXAGRO</t>
  </si>
  <si>
    <t>Miscellaneous</t>
  </si>
  <si>
    <t>APEXFOOT</t>
  </si>
  <si>
    <t>CONFIDCEM</t>
  </si>
  <si>
    <t>IBNSINA</t>
  </si>
  <si>
    <t>RENATA</t>
  </si>
  <si>
    <t>MARICO</t>
  </si>
  <si>
    <t xml:space="preserve"> RECKITTBEN</t>
  </si>
  <si>
    <t>KDSALTD</t>
  </si>
  <si>
    <t>IT Sector</t>
  </si>
  <si>
    <t>ADNTEL</t>
  </si>
  <si>
    <t xml:space="preserve"> Fuel &amp; Power</t>
  </si>
  <si>
    <t>JAMUNAOIL</t>
  </si>
  <si>
    <t>BRACBANK</t>
  </si>
  <si>
    <t>4. DBH Finance PLC. (DBH)</t>
  </si>
  <si>
    <t>PARAMOUNT</t>
  </si>
  <si>
    <t>-</t>
  </si>
  <si>
    <t>RECKITTBEN</t>
  </si>
  <si>
    <t>Risk</t>
  </si>
  <si>
    <t>Sectors</t>
  </si>
  <si>
    <t xml:space="preserve">DSE SECTORAL PERFORMANCE </t>
  </si>
  <si>
    <t>Sector</t>
  </si>
  <si>
    <t>Market Cap  ammount in Million (As on August-26)</t>
  </si>
  <si>
    <t>% of Total Market Cap</t>
  </si>
  <si>
    <t>FINANCIAL SECTOR</t>
  </si>
  <si>
    <t>Banks</t>
  </si>
  <si>
    <t>Manufacturing</t>
  </si>
  <si>
    <t>Food &amp; Allied Product</t>
  </si>
  <si>
    <t>Textile</t>
  </si>
  <si>
    <t>Paper &amp; Printing</t>
  </si>
  <si>
    <t>Jute</t>
  </si>
  <si>
    <t>SERVICE &amp; MISCELLANEOUS</t>
  </si>
  <si>
    <t>Mutual Funds</t>
  </si>
  <si>
    <t>Services &amp; Realestate</t>
  </si>
  <si>
    <t>IT - Sector</t>
  </si>
  <si>
    <t>Travel and Leisure</t>
  </si>
  <si>
    <t>BOND</t>
  </si>
  <si>
    <t>Corporate Bond</t>
  </si>
  <si>
    <t>Grand Total</t>
  </si>
  <si>
    <t>Source: DSE;  Monthly review September 2026 Volume 41, No: 09</t>
  </si>
  <si>
    <t>Sectorwise Statistics — DSE</t>
  </si>
  <si>
    <t>DSE Sector Details</t>
  </si>
  <si>
    <t>Sector Name</t>
  </si>
  <si>
    <t>YTD Change</t>
  </si>
  <si>
    <t>Ceramics Sector</t>
  </si>
  <si>
    <t>Debenture</t>
  </si>
  <si>
    <t>General Insurance</t>
  </si>
  <si>
    <t>Life Insurance</t>
  </si>
  <si>
    <t>Mutual Fund</t>
  </si>
  <si>
    <t>Services &amp; Real Estate</t>
  </si>
  <si>
    <t>Tannery Industries</t>
  </si>
  <si>
    <t>Travel &amp; Leisure</t>
  </si>
  <si>
    <t>Source: Shanta Securities daily market report (As on August 31, 2026)</t>
  </si>
  <si>
    <r>
      <rPr>
        <b/>
        <sz val="15"/>
        <color theme="0"/>
        <rFont val="Calibri"/>
        <family val="2"/>
        <scheme val="minor"/>
      </rPr>
      <t>R</t>
    </r>
    <r>
      <rPr>
        <b/>
        <sz val="11"/>
        <color theme="0"/>
        <rFont val="Calibri"/>
        <family val="2"/>
        <scheme val="minor"/>
      </rPr>
      <t>p-</t>
    </r>
    <r>
      <rPr>
        <b/>
        <sz val="16"/>
        <color theme="0"/>
        <rFont val="Calibri"/>
        <family val="2"/>
        <scheme val="minor"/>
      </rPr>
      <t>R</t>
    </r>
    <r>
      <rPr>
        <b/>
        <sz val="11"/>
        <color theme="0"/>
        <rFont val="Calibri"/>
        <family val="2"/>
        <scheme val="minor"/>
      </rPr>
      <t>b</t>
    </r>
  </si>
  <si>
    <t>Perfomance Evaluation</t>
  </si>
  <si>
    <t>Monthly return</t>
  </si>
  <si>
    <t>—</t>
  </si>
  <si>
    <t>0.95%</t>
  </si>
  <si>
    <t>11.72%</t>
  </si>
  <si>
    <t>22%</t>
  </si>
  <si>
    <t>0.87%</t>
  </si>
  <si>
    <t>11.41%</t>
  </si>
  <si>
    <t>20.7%</t>
  </si>
  <si>
    <t>0.72%</t>
  </si>
  <si>
    <t>9.48%</t>
  </si>
  <si>
    <t>16%</t>
  </si>
  <si>
    <t>1.26%</t>
  </si>
  <si>
    <t>16.2%</t>
  </si>
  <si>
    <t>26.1%</t>
  </si>
  <si>
    <t>1.19%</t>
  </si>
  <si>
    <t>15.78%</t>
  </si>
  <si>
    <t>25.4%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</si>
</sst>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0.0000"/>
    <numFmt numFmtId="166" formatCode="0.000%"/>
    <numFmt numFmtId="167" formatCode="0.0000%"/>
    <numFmt numFmtId="168" formatCode="#,##0.00;[Red]\(#,##0.00\);\-"/>
    <numFmt numFmtId="169" formatCode="[$-409]d\-mmm\-yyyy;@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1"/>
      <name val="Tims"/>
    </font>
    <font>
      <b/>
      <sz val="18"/>
      <color rgb="FF0070C0"/>
      <name val="Tims"/>
    </font>
    <font>
      <b/>
      <sz val="11"/>
      <color theme="1"/>
      <name val="Tims"/>
    </font>
    <font>
      <b/>
      <sz val="11"/>
      <color theme="8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1"/>
      <color rgb="FF1F1F1F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15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96">
    <xf numFmtId="0" fontId="0" fillId="0" borderId="0" xfId="0"/>
    <xf numFmtId="0" fontId="1" fillId="0" borderId="0" xfId="0" applyFont="1"/>
    <xf numFmtId="10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0" fontId="0" fillId="0" borderId="0" xfId="1" applyNumberFormat="1" applyFont="1"/>
    <xf numFmtId="164" fontId="0" fillId="0" borderId="0" xfId="1" applyNumberFormat="1" applyFont="1"/>
    <xf numFmtId="0" fontId="7" fillId="0" borderId="1" xfId="0" applyFont="1" applyBorder="1"/>
    <xf numFmtId="10" fontId="0" fillId="0" borderId="1" xfId="0" applyNumberFormat="1" applyBorder="1"/>
    <xf numFmtId="10" fontId="0" fillId="0" borderId="1" xfId="1" applyNumberFormat="1" applyFont="1" applyBorder="1"/>
    <xf numFmtId="0" fontId="0" fillId="0" borderId="1" xfId="0" applyBorder="1"/>
    <xf numFmtId="10" fontId="8" fillId="0" borderId="0" xfId="0" applyNumberFormat="1" applyFont="1"/>
    <xf numFmtId="0" fontId="11" fillId="3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11" fillId="5" borderId="0" xfId="0" applyFont="1" applyFill="1" applyAlignment="1">
      <alignment horizontal="right"/>
    </xf>
    <xf numFmtId="0" fontId="0" fillId="4" borderId="0" xfId="0" applyFill="1"/>
    <xf numFmtId="0" fontId="0" fillId="5" borderId="0" xfId="0" applyFill="1"/>
    <xf numFmtId="0" fontId="0" fillId="5" borderId="0" xfId="2" applyNumberFormat="1" applyFont="1" applyFill="1"/>
    <xf numFmtId="0" fontId="0" fillId="4" borderId="0" xfId="2" applyNumberFormat="1" applyFont="1" applyFill="1"/>
    <xf numFmtId="0" fontId="0" fillId="0" borderId="4" xfId="0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0" fontId="0" fillId="4" borderId="2" xfId="0" applyNumberFormat="1" applyFill="1" applyBorder="1"/>
    <xf numFmtId="10" fontId="0" fillId="4" borderId="3" xfId="0" applyNumberFormat="1" applyFill="1" applyBorder="1"/>
    <xf numFmtId="10" fontId="0" fillId="4" borderId="4" xfId="0" applyNumberFormat="1" applyFill="1" applyBorder="1"/>
    <xf numFmtId="10" fontId="0" fillId="0" borderId="2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0" fontId="0" fillId="0" borderId="2" xfId="0" applyBorder="1"/>
    <xf numFmtId="0" fontId="0" fillId="0" borderId="3" xfId="0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1" fontId="0" fillId="4" borderId="0" xfId="0" applyNumberFormat="1" applyFill="1"/>
    <xf numFmtId="0" fontId="6" fillId="5" borderId="1" xfId="0" applyFont="1" applyFill="1" applyBorder="1" applyAlignment="1">
      <alignment horizontal="center"/>
    </xf>
    <xf numFmtId="0" fontId="0" fillId="5" borderId="1" xfId="0" applyFill="1" applyBorder="1"/>
    <xf numFmtId="0" fontId="6" fillId="0" borderId="0" xfId="0" applyFont="1" applyAlignment="1">
      <alignment horizontal="center"/>
    </xf>
    <xf numFmtId="164" fontId="0" fillId="0" borderId="6" xfId="0" applyNumberFormat="1" applyBorder="1"/>
    <xf numFmtId="164" fontId="0" fillId="0" borderId="7" xfId="0" applyNumberFormat="1" applyBorder="1"/>
    <xf numFmtId="164" fontId="0" fillId="0" borderId="0" xfId="1" applyNumberFormat="1" applyFont="1" applyBorder="1"/>
    <xf numFmtId="164" fontId="0" fillId="0" borderId="2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10" fontId="0" fillId="5" borderId="2" xfId="0" applyNumberFormat="1" applyFill="1" applyBorder="1"/>
    <xf numFmtId="10" fontId="0" fillId="5" borderId="3" xfId="0" applyNumberFormat="1" applyFill="1" applyBorder="1"/>
    <xf numFmtId="10" fontId="0" fillId="5" borderId="4" xfId="0" applyNumberFormat="1" applyFill="1" applyBorder="1"/>
    <xf numFmtId="10" fontId="0" fillId="5" borderId="3" xfId="1" applyNumberFormat="1" applyFont="1" applyFill="1" applyBorder="1"/>
    <xf numFmtId="2" fontId="0" fillId="4" borderId="1" xfId="0" applyNumberFormat="1" applyFill="1" applyBorder="1"/>
    <xf numFmtId="166" fontId="0" fillId="4" borderId="1" xfId="1" applyNumberFormat="1" applyFont="1" applyFill="1" applyBorder="1"/>
    <xf numFmtId="165" fontId="0" fillId="4" borderId="1" xfId="1" applyNumberFormat="1" applyFont="1" applyFill="1" applyBorder="1"/>
    <xf numFmtId="0" fontId="0" fillId="6" borderId="1" xfId="0" applyFill="1" applyBorder="1"/>
    <xf numFmtId="2" fontId="0" fillId="4" borderId="13" xfId="0" applyNumberFormat="1" applyFill="1" applyBorder="1"/>
    <xf numFmtId="0" fontId="1" fillId="5" borderId="1" xfId="0" applyFont="1" applyFill="1" applyBorder="1"/>
    <xf numFmtId="10" fontId="0" fillId="4" borderId="1" xfId="1" applyNumberFormat="1" applyFont="1" applyFill="1" applyBorder="1"/>
    <xf numFmtId="10" fontId="13" fillId="6" borderId="1" xfId="1" applyNumberFormat="1" applyFont="1" applyFill="1" applyBorder="1"/>
    <xf numFmtId="0" fontId="12" fillId="5" borderId="1" xfId="0" applyFont="1" applyFill="1" applyBorder="1" applyAlignment="1">
      <alignment horizontal="center" vertical="center"/>
    </xf>
    <xf numFmtId="10" fontId="13" fillId="4" borderId="1" xfId="1" applyNumberFormat="1" applyFont="1" applyFill="1" applyBorder="1"/>
    <xf numFmtId="167" fontId="0" fillId="6" borderId="1" xfId="1" applyNumberFormat="1" applyFont="1" applyFill="1" applyBorder="1"/>
    <xf numFmtId="167" fontId="0" fillId="6" borderId="1" xfId="0" applyNumberFormat="1" applyFill="1" applyBorder="1"/>
    <xf numFmtId="165" fontId="0" fillId="4" borderId="1" xfId="0" applyNumberFormat="1" applyFill="1" applyBorder="1"/>
    <xf numFmtId="165" fontId="0" fillId="4" borderId="13" xfId="1" applyNumberFormat="1" applyFont="1" applyFill="1" applyBorder="1"/>
    <xf numFmtId="10" fontId="0" fillId="4" borderId="0" xfId="0" applyNumberFormat="1" applyFill="1"/>
    <xf numFmtId="10" fontId="0" fillId="6" borderId="0" xfId="0" applyNumberFormat="1" applyFill="1"/>
    <xf numFmtId="0" fontId="0" fillId="6" borderId="0" xfId="0" applyFill="1"/>
    <xf numFmtId="165" fontId="0" fillId="0" borderId="17" xfId="0" applyNumberFormat="1" applyBorder="1"/>
    <xf numFmtId="0" fontId="4" fillId="0" borderId="0" xfId="0" applyFont="1" applyAlignment="1">
      <alignment horizontal="center" vertical="center"/>
    </xf>
    <xf numFmtId="10" fontId="0" fillId="0" borderId="0" xfId="1" applyNumberFormat="1" applyFont="1" applyBorder="1"/>
    <xf numFmtId="10" fontId="0" fillId="0" borderId="2" xfId="1" applyNumberFormat="1" applyFont="1" applyBorder="1"/>
    <xf numFmtId="0" fontId="0" fillId="0" borderId="9" xfId="0" applyBorder="1" applyAlignment="1">
      <alignment vertical="center"/>
    </xf>
    <xf numFmtId="0" fontId="0" fillId="0" borderId="9" xfId="0" applyBorder="1"/>
    <xf numFmtId="10" fontId="0" fillId="0" borderId="12" xfId="1" applyNumberFormat="1" applyFont="1" applyBorder="1"/>
    <xf numFmtId="165" fontId="0" fillId="0" borderId="9" xfId="0" applyNumberFormat="1" applyBorder="1"/>
    <xf numFmtId="10" fontId="0" fillId="0" borderId="10" xfId="1" applyNumberFormat="1" applyFont="1" applyBorder="1"/>
    <xf numFmtId="0" fontId="4" fillId="0" borderId="6" xfId="0" applyFont="1" applyBorder="1" applyAlignment="1">
      <alignment horizontal="center" vertical="center"/>
    </xf>
    <xf numFmtId="0" fontId="0" fillId="0" borderId="6" xfId="0" applyBorder="1"/>
    <xf numFmtId="10" fontId="0" fillId="0" borderId="6" xfId="1" applyNumberFormat="1" applyFont="1" applyBorder="1"/>
    <xf numFmtId="10" fontId="0" fillId="0" borderId="7" xfId="1" applyNumberFormat="1" applyFont="1" applyBorder="1"/>
    <xf numFmtId="0" fontId="4" fillId="0" borderId="9" xfId="0" applyFont="1" applyBorder="1" applyAlignment="1">
      <alignment horizontal="center" vertical="center"/>
    </xf>
    <xf numFmtId="10" fontId="0" fillId="0" borderId="9" xfId="1" applyNumberFormat="1" applyFont="1" applyBorder="1"/>
    <xf numFmtId="0" fontId="4" fillId="0" borderId="18" xfId="0" applyFont="1" applyBorder="1" applyAlignment="1">
      <alignment horizontal="center" vertical="center"/>
    </xf>
    <xf numFmtId="0" fontId="0" fillId="0" borderId="18" xfId="0" applyBorder="1"/>
    <xf numFmtId="10" fontId="0" fillId="0" borderId="18" xfId="1" applyNumberFormat="1" applyFont="1" applyBorder="1"/>
    <xf numFmtId="10" fontId="0" fillId="0" borderId="19" xfId="1" applyNumberFormat="1" applyFont="1" applyBorder="1"/>
    <xf numFmtId="0" fontId="11" fillId="0" borderId="1" xfId="0" applyFont="1" applyBorder="1" applyAlignment="1">
      <alignment horizontal="center" vertical="center"/>
    </xf>
    <xf numFmtId="0" fontId="15" fillId="7" borderId="0" xfId="0" applyFont="1" applyFill="1"/>
    <xf numFmtId="0" fontId="16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168" fontId="15" fillId="0" borderId="1" xfId="0" applyNumberFormat="1" applyFont="1" applyBorder="1" applyAlignment="1">
      <alignment vertical="center"/>
    </xf>
    <xf numFmtId="10" fontId="15" fillId="7" borderId="1" xfId="1" applyNumberFormat="1" applyFont="1" applyFill="1" applyBorder="1" applyAlignment="1">
      <alignment vertical="center"/>
    </xf>
    <xf numFmtId="0" fontId="20" fillId="9" borderId="1" xfId="0" applyFont="1" applyFill="1" applyBorder="1" applyAlignment="1">
      <alignment vertical="center"/>
    </xf>
    <xf numFmtId="168" fontId="20" fillId="9" borderId="1" xfId="0" applyNumberFormat="1" applyFont="1" applyFill="1" applyBorder="1" applyAlignment="1">
      <alignment vertical="center"/>
    </xf>
    <xf numFmtId="0" fontId="17" fillId="10" borderId="1" xfId="0" applyFont="1" applyFill="1" applyBorder="1" applyAlignment="1">
      <alignment horizontal="center" vertical="center" wrapText="1"/>
    </xf>
    <xf numFmtId="0" fontId="19" fillId="8" borderId="11" xfId="0" applyFont="1" applyFill="1" applyBorder="1" applyAlignment="1">
      <alignment vertical="center"/>
    </xf>
    <xf numFmtId="0" fontId="19" fillId="8" borderId="12" xfId="0" applyFont="1" applyFill="1" applyBorder="1" applyAlignment="1">
      <alignment vertical="center"/>
    </xf>
    <xf numFmtId="0" fontId="17" fillId="10" borderId="15" xfId="0" applyFont="1" applyFill="1" applyBorder="1" applyAlignment="1">
      <alignment horizontal="center" vertical="center" wrapText="1"/>
    </xf>
    <xf numFmtId="168" fontId="15" fillId="0" borderId="16" xfId="0" applyNumberFormat="1" applyFont="1" applyBorder="1" applyAlignment="1">
      <alignment vertical="center"/>
    </xf>
    <xf numFmtId="0" fontId="19" fillId="8" borderId="18" xfId="0" applyFont="1" applyFill="1" applyBorder="1" applyAlignment="1">
      <alignment vertical="center"/>
    </xf>
    <xf numFmtId="168" fontId="20" fillId="9" borderId="15" xfId="0" applyNumberFormat="1" applyFont="1" applyFill="1" applyBorder="1" applyAlignment="1">
      <alignment vertical="center"/>
    </xf>
    <xf numFmtId="10" fontId="15" fillId="6" borderId="1" xfId="1" applyNumberFormat="1" applyFont="1" applyFill="1" applyBorder="1" applyAlignment="1">
      <alignment vertical="center"/>
    </xf>
    <xf numFmtId="10" fontId="15" fillId="0" borderId="1" xfId="1" applyNumberFormat="1" applyFont="1" applyFill="1" applyBorder="1" applyAlignment="1">
      <alignment vertical="center"/>
    </xf>
    <xf numFmtId="0" fontId="15" fillId="7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10" fontId="22" fillId="0" borderId="1" xfId="1" applyNumberFormat="1" applyFont="1" applyFill="1" applyBorder="1"/>
    <xf numFmtId="10" fontId="22" fillId="0" borderId="1" xfId="1" applyNumberFormat="1" applyFont="1" applyFill="1" applyBorder="1" applyAlignment="1">
      <alignment horizontal="center"/>
    </xf>
    <xf numFmtId="10" fontId="22" fillId="6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18" fillId="10" borderId="15" xfId="0" applyFont="1" applyFill="1" applyBorder="1"/>
    <xf numFmtId="0" fontId="25" fillId="0" borderId="11" xfId="0" applyFont="1" applyBorder="1" applyAlignment="1">
      <alignment horizontal="center" vertical="center"/>
    </xf>
    <xf numFmtId="0" fontId="26" fillId="0" borderId="8" xfId="0" applyFont="1" applyBorder="1" applyAlignment="1">
      <alignment vertical="center"/>
    </xf>
    <xf numFmtId="0" fontId="14" fillId="10" borderId="1" xfId="0" applyFont="1" applyFill="1" applyBorder="1" applyAlignment="1">
      <alignment horizontal="center" vertical="center"/>
    </xf>
    <xf numFmtId="169" fontId="0" fillId="0" borderId="0" xfId="0" applyNumberFormat="1"/>
    <xf numFmtId="0" fontId="11" fillId="5" borderId="1" xfId="0" applyFont="1" applyFill="1" applyBorder="1" applyAlignment="1">
      <alignment horizontal="right"/>
    </xf>
    <xf numFmtId="4" fontId="0" fillId="0" borderId="1" xfId="0" applyNumberFormat="1" applyBorder="1"/>
    <xf numFmtId="2" fontId="0" fillId="0" borderId="1" xfId="0" applyNumberFormat="1" applyBorder="1"/>
    <xf numFmtId="169" fontId="0" fillId="0" borderId="1" xfId="0" applyNumberFormat="1" applyBorder="1"/>
    <xf numFmtId="164" fontId="0" fillId="0" borderId="1" xfId="1" applyNumberFormat="1" applyFont="1" applyBorder="1"/>
    <xf numFmtId="0" fontId="11" fillId="4" borderId="1" xfId="0" applyFont="1" applyFill="1" applyBorder="1" applyAlignment="1">
      <alignment horizontal="right"/>
    </xf>
    <xf numFmtId="0" fontId="11" fillId="0" borderId="14" xfId="0" applyFont="1" applyBorder="1" applyAlignment="1">
      <alignment horizontal="center" vertical="center"/>
    </xf>
    <xf numFmtId="10" fontId="0" fillId="0" borderId="20" xfId="0" applyNumberFormat="1" applyBorder="1"/>
    <xf numFmtId="10" fontId="0" fillId="0" borderId="20" xfId="1" applyNumberFormat="1" applyFont="1" applyBorder="1"/>
    <xf numFmtId="165" fontId="7" fillId="0" borderId="1" xfId="0" applyNumberFormat="1" applyFont="1" applyBorder="1"/>
    <xf numFmtId="0" fontId="7" fillId="0" borderId="12" xfId="0" applyFont="1" applyBorder="1"/>
    <xf numFmtId="0" fontId="7" fillId="0" borderId="2" xfId="0" applyFont="1" applyBorder="1"/>
    <xf numFmtId="0" fontId="14" fillId="10" borderId="1" xfId="0" applyFont="1" applyFill="1" applyBorder="1"/>
    <xf numFmtId="0" fontId="27" fillId="10" borderId="1" xfId="0" applyFont="1" applyFill="1" applyBorder="1"/>
    <xf numFmtId="0" fontId="28" fillId="10" borderId="1" xfId="0" applyFont="1" applyFill="1" applyBorder="1"/>
    <xf numFmtId="10" fontId="7" fillId="0" borderId="1" xfId="1" applyNumberFormat="1" applyFont="1" applyBorder="1"/>
    <xf numFmtId="10" fontId="29" fillId="4" borderId="23" xfId="0" applyNumberFormat="1" applyFont="1" applyFill="1" applyBorder="1" applyAlignment="1">
      <alignment horizontal="center"/>
    </xf>
    <xf numFmtId="0" fontId="20" fillId="11" borderId="1" xfId="0" applyFont="1" applyFill="1" applyBorder="1" applyAlignment="1">
      <alignment vertical="center"/>
    </xf>
    <xf numFmtId="168" fontId="20" fillId="11" borderId="1" xfId="0" applyNumberFormat="1" applyFont="1" applyFill="1" applyBorder="1" applyAlignment="1">
      <alignment vertical="center"/>
    </xf>
    <xf numFmtId="10" fontId="15" fillId="11" borderId="1" xfId="1" applyNumberFormat="1" applyFont="1" applyFill="1" applyBorder="1" applyAlignment="1">
      <alignment vertical="center"/>
    </xf>
    <xf numFmtId="0" fontId="8" fillId="0" borderId="15" xfId="0" applyFont="1" applyBorder="1"/>
    <xf numFmtId="0" fontId="9" fillId="2" borderId="15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10" fontId="0" fillId="0" borderId="28" xfId="1" applyNumberFormat="1" applyFont="1" applyBorder="1"/>
    <xf numFmtId="0" fontId="11" fillId="0" borderId="2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10" fontId="0" fillId="0" borderId="31" xfId="1" applyNumberFormat="1" applyFont="1" applyBorder="1"/>
    <xf numFmtId="10" fontId="0" fillId="0" borderId="32" xfId="0" applyNumberFormat="1" applyBorder="1"/>
    <xf numFmtId="0" fontId="0" fillId="0" borderId="32" xfId="0" applyBorder="1"/>
    <xf numFmtId="10" fontId="0" fillId="0" borderId="33" xfId="0" applyNumberFormat="1" applyBorder="1"/>
    <xf numFmtId="0" fontId="25" fillId="0" borderId="0" xfId="0" applyFont="1" applyAlignment="1">
      <alignment horizontal="center"/>
    </xf>
    <xf numFmtId="0" fontId="26" fillId="0" borderId="0" xfId="0" applyFont="1"/>
    <xf numFmtId="0" fontId="25" fillId="0" borderId="3" xfId="0" applyFont="1" applyBorder="1" applyAlignment="1">
      <alignment horizontal="center"/>
    </xf>
    <xf numFmtId="0" fontId="26" fillId="0" borderId="4" xfId="0" applyFont="1" applyBorder="1"/>
    <xf numFmtId="0" fontId="25" fillId="0" borderId="0" xfId="0" applyFont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10" fontId="0" fillId="0" borderId="0" xfId="1" applyNumberFormat="1" applyFont="1" applyAlignment="1">
      <alignment horizontal="right" vertical="center" wrapText="1"/>
    </xf>
    <xf numFmtId="2" fontId="0" fillId="0" borderId="0" xfId="0" applyNumberFormat="1" applyAlignment="1">
      <alignment horizontal="right"/>
    </xf>
    <xf numFmtId="4" fontId="0" fillId="0" borderId="0" xfId="0" applyNumberFormat="1" applyAlignment="1">
      <alignment horizontal="right" vertical="center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1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12" fillId="5" borderId="11" xfId="0" applyFont="1" applyFill="1" applyBorder="1" applyAlignment="1">
      <alignment horizontal="left" vertical="center"/>
    </xf>
    <xf numFmtId="0" fontId="12" fillId="5" borderId="12" xfId="0" applyFont="1" applyFill="1" applyBorder="1" applyAlignment="1">
      <alignment horizontal="left" vertical="center"/>
    </xf>
    <xf numFmtId="0" fontId="28" fillId="10" borderId="11" xfId="0" applyFont="1" applyFill="1" applyBorder="1" applyAlignment="1">
      <alignment horizontal="center"/>
    </xf>
    <xf numFmtId="0" fontId="28" fillId="10" borderId="12" xfId="0" applyFont="1" applyFill="1" applyBorder="1" applyAlignment="1">
      <alignment horizontal="center"/>
    </xf>
    <xf numFmtId="0" fontId="25" fillId="0" borderId="5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9" fillId="4" borderId="21" xfId="0" applyFont="1" applyFill="1" applyBorder="1" applyAlignment="1">
      <alignment horizontal="center"/>
    </xf>
    <xf numFmtId="0" fontId="29" fillId="4" borderId="22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wrapText="1"/>
    </xf>
    <xf numFmtId="0" fontId="1" fillId="0" borderId="0" xfId="0" applyFont="1" applyAlignment="1">
      <alignment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'SS &amp; RF Allowed'!$B$32</c:f>
              <c:strCache>
                <c:ptCount val="1"/>
                <c:pt idx="0">
                  <c:v>Return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'SS &amp; RF Allowed'!$A$33:$A$36</c:f>
              <c:numCache>
                <c:formatCode>0.00%</c:formatCode>
                <c:ptCount val="4"/>
                <c:pt idx="0">
                  <c:v>3.0000041656872672E-2</c:v>
                </c:pt>
                <c:pt idx="1">
                  <c:v>0.13260715166408993</c:v>
                </c:pt>
                <c:pt idx="2">
                  <c:v>0.15000000259154569</c:v>
                </c:pt>
                <c:pt idx="3">
                  <c:v>0.20000000132466819</c:v>
                </c:pt>
              </c:numCache>
            </c:numRef>
          </c:xVal>
          <c:yVal>
            <c:numRef>
              <c:f>'SS &amp; RF Allowed'!$B$33:$B$36</c:f>
              <c:numCache>
                <c:formatCode>0.00%</c:formatCode>
                <c:ptCount val="4"/>
                <c:pt idx="0">
                  <c:v>3.0497867944708136E-2</c:v>
                </c:pt>
                <c:pt idx="1">
                  <c:v>0.13013209659909272</c:v>
                </c:pt>
                <c:pt idx="2">
                  <c:v>0.14597881879633642</c:v>
                </c:pt>
                <c:pt idx="3">
                  <c:v>0.18907757907760211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A-4BA5-BC55-96BAB5D3F95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&amp; RF Allowed'!$A$39:$A$40</c:f>
              <c:numCache>
                <c:formatCode>0.00%</c:formatCode>
                <c:ptCount val="2"/>
                <c:pt idx="0">
                  <c:v>0</c:v>
                </c:pt>
                <c:pt idx="1">
                  <c:v>0.13260715166408993</c:v>
                </c:pt>
              </c:numCache>
            </c:numRef>
          </c:xVal>
          <c:yVal>
            <c:numRef>
              <c:f>'SS &amp; RF Allowed'!$B$39:$B$40</c:f>
              <c:numCache>
                <c:formatCode>0.00%</c:formatCode>
                <c:ptCount val="2"/>
                <c:pt idx="0">
                  <c:v>7.2833333333333335E-3</c:v>
                </c:pt>
                <c:pt idx="1">
                  <c:v>0.13013209659909272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3A-4BA5-BC55-96BAB5D3F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570160"/>
        <c:axId val="505571408"/>
      </c:scatterChart>
      <c:valAx>
        <c:axId val="50557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71408"/>
        <c:crosses val="autoZero"/>
        <c:crossBetween val="midCat"/>
      </c:valAx>
      <c:valAx>
        <c:axId val="5055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7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'SS not allowed, RF allowed'!$B$32</c:f>
              <c:strCache>
                <c:ptCount val="1"/>
                <c:pt idx="0">
                  <c:v>Return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'SS not allowed, RF allowed'!$A$33:$A$36</c:f>
              <c:numCache>
                <c:formatCode>0.00%</c:formatCode>
                <c:ptCount val="4"/>
                <c:pt idx="0">
                  <c:v>3.0000058626386022E-2</c:v>
                </c:pt>
                <c:pt idx="1">
                  <c:v>6.0615189783646953E-2</c:v>
                </c:pt>
                <c:pt idx="2">
                  <c:v>7.0000004496897264E-2</c:v>
                </c:pt>
                <c:pt idx="3">
                  <c:v>7.9999953751189803E-2</c:v>
                </c:pt>
              </c:numCache>
            </c:numRef>
          </c:xVal>
          <c:yVal>
            <c:numRef>
              <c:f>'SS not allowed, RF allowed'!$B$33:$B$36</c:f>
              <c:numCache>
                <c:formatCode>0.00%</c:formatCode>
                <c:ptCount val="4"/>
                <c:pt idx="0">
                  <c:v>1.3340809151247496E-2</c:v>
                </c:pt>
                <c:pt idx="1">
                  <c:v>3.1162608706968825E-2</c:v>
                </c:pt>
                <c:pt idx="2">
                  <c:v>3.4157566504538606E-2</c:v>
                </c:pt>
                <c:pt idx="3">
                  <c:v>3.6596626574027805E-2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E2-4CDE-80F2-2DC3E1CC83C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not allowed, RF allowed'!$A$39:$A$40</c:f>
              <c:numCache>
                <c:formatCode>0.00%</c:formatCode>
                <c:ptCount val="2"/>
                <c:pt idx="0">
                  <c:v>0</c:v>
                </c:pt>
                <c:pt idx="1">
                  <c:v>6.0615189783646953E-2</c:v>
                </c:pt>
              </c:numCache>
            </c:numRef>
          </c:xVal>
          <c:yVal>
            <c:numRef>
              <c:f>'SS not allowed, RF allowed'!$B$39:$B$40</c:f>
              <c:numCache>
                <c:formatCode>0.00%</c:formatCode>
                <c:ptCount val="2"/>
                <c:pt idx="0">
                  <c:v>7.2833333333333335E-3</c:v>
                </c:pt>
                <c:pt idx="1">
                  <c:v>3.1162608706968825E-2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E2-4CDE-80F2-2DC3E1CC8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570160"/>
        <c:axId val="505571408"/>
      </c:scatterChart>
      <c:valAx>
        <c:axId val="50557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71408"/>
        <c:crosses val="autoZero"/>
        <c:crossBetween val="midCat"/>
      </c:valAx>
      <c:valAx>
        <c:axId val="5055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7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'SS allowed, No RF'!$B$32</c:f>
              <c:strCache>
                <c:ptCount val="1"/>
                <c:pt idx="0">
                  <c:v>Return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'SS allowed, No RF'!$A$33:$A$36</c:f>
              <c:numCache>
                <c:formatCode>0.00%</c:formatCode>
                <c:ptCount val="4"/>
                <c:pt idx="0">
                  <c:v>4.0000015505049516E-2</c:v>
                </c:pt>
                <c:pt idx="1">
                  <c:v>0.13380852200337409</c:v>
                </c:pt>
                <c:pt idx="2">
                  <c:v>0.14999997162731651</c:v>
                </c:pt>
                <c:pt idx="3">
                  <c:v>0.18000001401252885</c:v>
                </c:pt>
              </c:numCache>
            </c:numRef>
          </c:xVal>
          <c:yVal>
            <c:numRef>
              <c:f>'SS allowed, No RF'!$B$33:$B$36</c:f>
              <c:numCache>
                <c:formatCode>0.00%</c:formatCode>
                <c:ptCount val="4"/>
                <c:pt idx="0">
                  <c:v>4.1483218301946428E-2</c:v>
                </c:pt>
                <c:pt idx="1">
                  <c:v>0.13124087887201402</c:v>
                </c:pt>
                <c:pt idx="2">
                  <c:v>0.14597879175169012</c:v>
                </c:pt>
                <c:pt idx="3">
                  <c:v>0.17208890842586341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B-4A40-A3E7-0647037BB58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allowed, No RF'!$A$39:$A$40</c:f>
              <c:numCache>
                <c:formatCode>0.00%</c:formatCode>
                <c:ptCount val="2"/>
                <c:pt idx="0">
                  <c:v>0</c:v>
                </c:pt>
                <c:pt idx="1">
                  <c:v>4.0000015505049516E-2</c:v>
                </c:pt>
              </c:numCache>
            </c:numRef>
          </c:xVal>
          <c:yVal>
            <c:numRef>
              <c:f>'SS allowed, No RF'!$B$39:$B$40</c:f>
              <c:numCache>
                <c:formatCode>0.00%</c:formatCode>
                <c:ptCount val="2"/>
                <c:pt idx="0">
                  <c:v>7.9166666666666673E-3</c:v>
                </c:pt>
                <c:pt idx="1">
                  <c:v>4.1483218301946428E-2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1B-4A40-A3E7-0647037BB58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allowed, No RF'!$A$42:$A$43</c:f>
              <c:numCache>
                <c:formatCode>0.00%</c:formatCode>
                <c:ptCount val="2"/>
                <c:pt idx="0">
                  <c:v>0</c:v>
                </c:pt>
                <c:pt idx="1">
                  <c:v>0.13380852200337409</c:v>
                </c:pt>
              </c:numCache>
            </c:numRef>
          </c:xVal>
          <c:yVal>
            <c:numRef>
              <c:f>'SS allowed, No RF'!$B$42:$B$43</c:f>
              <c:numCache>
                <c:formatCode>0.00%</c:formatCode>
                <c:ptCount val="2"/>
                <c:pt idx="0">
                  <c:v>7.2833333333333335E-3</c:v>
                </c:pt>
                <c:pt idx="1">
                  <c:v>0.13124087887201402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1B-4A40-A3E7-0647037BB58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'SS allowed, No RF'!$A$45:$A$46</c:f>
              <c:numCache>
                <c:formatCode>0.00%</c:formatCode>
                <c:ptCount val="2"/>
                <c:pt idx="0">
                  <c:v>0</c:v>
                </c:pt>
                <c:pt idx="1">
                  <c:v>0.14999997162731651</c:v>
                </c:pt>
              </c:numCache>
            </c:numRef>
          </c:xVal>
          <c:yVal>
            <c:numRef>
              <c:f>'SS allowed, No RF'!$B$45:$B$46</c:f>
              <c:numCache>
                <c:formatCode>0.00%</c:formatCode>
                <c:ptCount val="2"/>
                <c:pt idx="0">
                  <c:v>8.8916666666666675E-3</c:v>
                </c:pt>
                <c:pt idx="1">
                  <c:v>0.14597879175169012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1B-4A40-A3E7-0647037BB58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'SS allowed, No RF'!$A$48:$A$49</c:f>
              <c:numCache>
                <c:formatCode>0.00%</c:formatCode>
                <c:ptCount val="2"/>
                <c:pt idx="0">
                  <c:v>0</c:v>
                </c:pt>
                <c:pt idx="1">
                  <c:v>0.18000001401252885</c:v>
                </c:pt>
              </c:numCache>
            </c:numRef>
          </c:xVal>
          <c:yVal>
            <c:numRef>
              <c:f>'SS allowed, No RF'!$B$48:$B$49</c:f>
              <c:numCache>
                <c:formatCode>0.00%</c:formatCode>
                <c:ptCount val="2"/>
                <c:pt idx="0">
                  <c:v>9.3333333333333324E-3</c:v>
                </c:pt>
                <c:pt idx="1">
                  <c:v>0.17208890842586341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1B-4A40-A3E7-0647037B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936608"/>
        <c:axId val="776940352"/>
      </c:scatterChart>
      <c:valAx>
        <c:axId val="77693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940352"/>
        <c:crosses val="autoZero"/>
        <c:crossBetween val="midCat"/>
      </c:valAx>
      <c:valAx>
        <c:axId val="77694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93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 SS, No RF'!$B$32</c:f>
              <c:strCache>
                <c:ptCount val="1"/>
                <c:pt idx="0">
                  <c:v>Return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 SS, No RF'!$A$33:$A$36</c:f>
              <c:numCache>
                <c:formatCode>0.00%</c:formatCode>
                <c:ptCount val="4"/>
                <c:pt idx="0">
                  <c:v>2.7408267080770963E-2</c:v>
                </c:pt>
                <c:pt idx="1">
                  <c:v>3.1845484042434834E-2</c:v>
                </c:pt>
                <c:pt idx="2">
                  <c:v>3.9080717896597533E-2</c:v>
                </c:pt>
                <c:pt idx="3">
                  <c:v>4.1879328369905496E-2</c:v>
                </c:pt>
              </c:numCache>
            </c:numRef>
          </c:xVal>
          <c:yVal>
            <c:numRef>
              <c:f>'No SS, No RF'!$B$33:$B$36</c:f>
              <c:numCache>
                <c:formatCode>0.00%</c:formatCode>
                <c:ptCount val="4"/>
                <c:pt idx="0">
                  <c:v>1.000000014740152E-2</c:v>
                </c:pt>
                <c:pt idx="1">
                  <c:v>1.5000000312774948E-2</c:v>
                </c:pt>
                <c:pt idx="2">
                  <c:v>1.9999999932606607E-2</c:v>
                </c:pt>
                <c:pt idx="3">
                  <c:v>2.1669999414403753E-2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27-438D-A92D-BFE173FEFDD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'No SS, No RF'!$A$39:$A$40</c:f>
              <c:numCache>
                <c:formatCode>0.00%</c:formatCode>
                <c:ptCount val="2"/>
              </c:numCache>
            </c:numRef>
          </c:xVal>
          <c:yVal>
            <c:numRef>
              <c:f>'No SS, No RF'!$B$39:$B$40</c:f>
              <c:numCache>
                <c:formatCode>0.00%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27-438D-A92D-BFE173FEF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570160"/>
        <c:axId val="505571408"/>
      </c:scatterChart>
      <c:valAx>
        <c:axId val="50557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71408"/>
        <c:crosses val="autoZero"/>
        <c:crossBetween val="midCat"/>
      </c:valAx>
      <c:valAx>
        <c:axId val="5055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7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1098873</xdr:colOff>
      <xdr:row>28</xdr:row>
      <xdr:rowOff>161441</xdr:rowOff>
    </xdr:from>
    <xdr:to>
      <xdr:col>13</xdr:col>
      <xdr:colOff>441271</xdr:colOff>
      <xdr:row>46</xdr:row>
      <xdr:rowOff>160796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06D07D-28AE-426F-8073-910D02978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204491</xdr:colOff>
      <xdr:row>28</xdr:row>
      <xdr:rowOff>161441</xdr:rowOff>
    </xdr:from>
    <xdr:to>
      <xdr:col>13</xdr:col>
      <xdr:colOff>441271</xdr:colOff>
      <xdr:row>49</xdr:row>
      <xdr:rowOff>139915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45CCB-F439-4A37-A927-9053C3912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485398</xdr:colOff>
      <xdr:row>29</xdr:row>
      <xdr:rowOff>75340</xdr:rowOff>
    </xdr:from>
    <xdr:to>
      <xdr:col>15</xdr:col>
      <xdr:colOff>30976</xdr:colOff>
      <xdr:row>52</xdr:row>
      <xdr:rowOff>15488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56AFDA-5035-4780-852E-7CA5B60D7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75339</xdr:colOff>
      <xdr:row>28</xdr:row>
      <xdr:rowOff>161441</xdr:rowOff>
    </xdr:from>
    <xdr:to>
      <xdr:col>13</xdr:col>
      <xdr:colOff>441271</xdr:colOff>
      <xdr:row>49</xdr:row>
      <xdr:rowOff>64576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53EF12-D552-4B27-9020-33AB9CFE4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D3BF-761C-45A6-8C26-ED7BF8099163}">
  <dimension ref="A1:G159"/>
  <sheetViews>
    <sheetView tabSelected="1" topLeftCell="A78" workbookViewId="0">
      <selection activeCell="A83" sqref="A83:A87"/>
    </sheetView>
  </sheetViews>
  <sheetFormatPr defaultColWidth="8.81640625" defaultRowHeight="14.5"/>
  <cols>
    <col min="3" max="3" width="13.90625" customWidth="1"/>
  </cols>
  <sheetData>
    <row r="1" spans="1:7">
      <c r="A1" s="155" t="s">
        <v>6</v>
      </c>
    </row>
    <row r="2" spans="1:7" s="110" customFormat="1">
      <c r="A2" s="164" t="s">
        <v>0</v>
      </c>
      <c r="B2" s="164" t="s">
        <v>1</v>
      </c>
      <c r="C2" s="164" t="s">
        <v>2</v>
      </c>
      <c r="D2" s="164" t="s">
        <v>3</v>
      </c>
      <c r="E2" s="164" t="s">
        <v>4</v>
      </c>
      <c r="F2" s="164" t="s">
        <v>5</v>
      </c>
      <c r="G2" s="164" t="s">
        <v>91</v>
      </c>
    </row>
    <row r="3" spans="1:7">
      <c r="A3" s="157">
        <v>2021</v>
      </c>
      <c r="B3" s="156">
        <v>14.09</v>
      </c>
      <c r="C3" s="156">
        <v>30.24</v>
      </c>
      <c r="D3" s="159">
        <v>1.3100000000000001E-2</v>
      </c>
      <c r="E3" s="7">
        <v>0.1038</v>
      </c>
      <c r="F3" s="158">
        <v>0.19009999999999999</v>
      </c>
      <c r="G3" s="156">
        <v>2.39</v>
      </c>
    </row>
    <row r="4" spans="1:7">
      <c r="A4" s="157">
        <v>2022</v>
      </c>
      <c r="B4" s="156">
        <v>9.5500000000000007</v>
      </c>
      <c r="C4" s="156">
        <v>32.369999999999997</v>
      </c>
      <c r="D4" s="159">
        <v>1.0200000000000001E-2</v>
      </c>
      <c r="E4" s="159">
        <v>7.7700000000000005E-2</v>
      </c>
      <c r="F4" s="158">
        <v>0.16800000000000001</v>
      </c>
      <c r="G4" s="156">
        <v>2.63</v>
      </c>
    </row>
    <row r="5" spans="1:7">
      <c r="A5" s="157">
        <v>2023</v>
      </c>
      <c r="B5" s="156">
        <v>7.57</v>
      </c>
      <c r="C5" s="156">
        <v>35.5</v>
      </c>
      <c r="D5" s="159">
        <v>1.11E-2</v>
      </c>
      <c r="E5" s="159">
        <v>0.1192</v>
      </c>
      <c r="F5" s="158">
        <v>0.1741</v>
      </c>
      <c r="G5" s="156">
        <v>3.32</v>
      </c>
    </row>
    <row r="6" spans="1:7">
      <c r="A6" s="157">
        <v>2024</v>
      </c>
      <c r="B6" s="156">
        <v>7.05</v>
      </c>
      <c r="C6" s="156">
        <v>42.09</v>
      </c>
      <c r="D6" s="159">
        <v>1.46E-2</v>
      </c>
      <c r="E6" s="159">
        <v>0.17430000000000001</v>
      </c>
      <c r="F6" s="158">
        <v>0.20269999999999999</v>
      </c>
      <c r="G6" s="156">
        <v>5.37</v>
      </c>
    </row>
    <row r="7" spans="1:7">
      <c r="A7" s="157">
        <v>2025</v>
      </c>
      <c r="B7" s="156">
        <v>6.92</v>
      </c>
      <c r="C7" s="156">
        <v>55.4</v>
      </c>
      <c r="D7" s="159">
        <v>1.52E-2</v>
      </c>
      <c r="E7" s="159">
        <v>0.2006</v>
      </c>
      <c r="F7" s="158">
        <v>0.2311</v>
      </c>
      <c r="G7" s="156">
        <v>7.93</v>
      </c>
    </row>
    <row r="9" spans="1:7">
      <c r="A9" s="155" t="s">
        <v>92</v>
      </c>
    </row>
    <row r="10" spans="1:7" s="110" customFormat="1">
      <c r="A10" s="164" t="s">
        <v>0</v>
      </c>
      <c r="B10" s="164" t="s">
        <v>1</v>
      </c>
      <c r="C10" s="164" t="s">
        <v>2</v>
      </c>
      <c r="D10" s="164" t="s">
        <v>3</v>
      </c>
      <c r="E10" s="164" t="s">
        <v>4</v>
      </c>
      <c r="F10" s="164" t="s">
        <v>5</v>
      </c>
      <c r="G10" s="164" t="s">
        <v>91</v>
      </c>
    </row>
    <row r="11" spans="1:7">
      <c r="A11" s="1">
        <v>2021</v>
      </c>
      <c r="B11" s="160">
        <v>5.95</v>
      </c>
      <c r="C11">
        <v>21.11</v>
      </c>
      <c r="D11" s="162" t="s">
        <v>171</v>
      </c>
      <c r="E11" s="162" t="s">
        <v>172</v>
      </c>
      <c r="F11" s="162" t="s">
        <v>173</v>
      </c>
      <c r="G11">
        <v>2.37</v>
      </c>
    </row>
    <row r="12" spans="1:7">
      <c r="A12" s="1">
        <v>2022</v>
      </c>
      <c r="B12" s="160">
        <v>5.52</v>
      </c>
      <c r="C12">
        <v>20.86</v>
      </c>
      <c r="D12" s="162" t="s">
        <v>174</v>
      </c>
      <c r="E12" s="162" t="s">
        <v>175</v>
      </c>
      <c r="F12" s="162" t="s">
        <v>176</v>
      </c>
      <c r="G12">
        <v>2.38</v>
      </c>
    </row>
    <row r="13" spans="1:7">
      <c r="A13" s="1">
        <v>2023</v>
      </c>
      <c r="B13" s="160">
        <v>6.33</v>
      </c>
      <c r="C13">
        <v>21.82</v>
      </c>
      <c r="D13" s="162" t="s">
        <v>177</v>
      </c>
      <c r="E13" s="162" t="s">
        <v>178</v>
      </c>
      <c r="F13" s="162" t="s">
        <v>179</v>
      </c>
      <c r="G13">
        <v>2.0699999999999998</v>
      </c>
    </row>
    <row r="14" spans="1:7">
      <c r="A14" s="1">
        <v>2024</v>
      </c>
      <c r="B14" s="160">
        <v>2.74</v>
      </c>
      <c r="C14">
        <v>22.37</v>
      </c>
      <c r="D14" s="162" t="s">
        <v>180</v>
      </c>
      <c r="E14" s="162" t="s">
        <v>181</v>
      </c>
      <c r="F14" s="162" t="s">
        <v>182</v>
      </c>
      <c r="G14">
        <v>2.1</v>
      </c>
    </row>
    <row r="15" spans="1:7">
      <c r="A15" s="1">
        <v>2025</v>
      </c>
      <c r="B15" s="160">
        <v>2.84</v>
      </c>
      <c r="C15">
        <v>27.2</v>
      </c>
      <c r="D15" s="162" t="s">
        <v>183</v>
      </c>
      <c r="E15" s="162" t="s">
        <v>184</v>
      </c>
      <c r="F15" s="162" t="s">
        <v>185</v>
      </c>
      <c r="G15">
        <v>4.29</v>
      </c>
    </row>
    <row r="17" spans="1:7">
      <c r="A17" s="155" t="s">
        <v>93</v>
      </c>
    </row>
    <row r="18" spans="1:7" s="110" customFormat="1">
      <c r="A18" s="164" t="s">
        <v>0</v>
      </c>
      <c r="B18" s="164" t="s">
        <v>1</v>
      </c>
      <c r="C18" s="164" t="s">
        <v>2</v>
      </c>
      <c r="D18" s="164" t="s">
        <v>3</v>
      </c>
      <c r="E18" s="164" t="s">
        <v>4</v>
      </c>
      <c r="F18" s="164" t="s">
        <v>5</v>
      </c>
      <c r="G18" s="164" t="s">
        <v>91</v>
      </c>
    </row>
    <row r="19" spans="1:7">
      <c r="A19" s="1">
        <v>2021</v>
      </c>
      <c r="B19" s="160">
        <v>16.260000000000002</v>
      </c>
      <c r="C19" s="160">
        <v>14.79</v>
      </c>
      <c r="D19" s="2">
        <v>1.04E-2</v>
      </c>
      <c r="E19" s="2">
        <v>0.13869999999999999</v>
      </c>
      <c r="F19" s="2">
        <v>0.25700000000000001</v>
      </c>
      <c r="G19" s="160">
        <v>2.0499999999999998</v>
      </c>
    </row>
    <row r="20" spans="1:7">
      <c r="A20" s="1">
        <v>2022</v>
      </c>
      <c r="B20" s="160">
        <v>23.72</v>
      </c>
      <c r="C20" s="160">
        <v>15.84</v>
      </c>
      <c r="D20" s="2">
        <v>1.04E-2</v>
      </c>
      <c r="E20" s="2">
        <v>0.13239999999999999</v>
      </c>
      <c r="F20" s="3">
        <v>0.28999999999999998</v>
      </c>
      <c r="G20" s="160">
        <v>2.1</v>
      </c>
    </row>
    <row r="21" spans="1:7">
      <c r="A21" s="1">
        <v>2023</v>
      </c>
      <c r="B21" s="160">
        <v>62.33</v>
      </c>
      <c r="C21" s="160">
        <v>15.72</v>
      </c>
      <c r="D21" s="2">
        <v>3.7000000000000002E-3</v>
      </c>
      <c r="E21" s="2">
        <v>5.0799999999999998E-2</v>
      </c>
      <c r="F21" s="3">
        <v>0.12</v>
      </c>
      <c r="G21" s="160">
        <v>0.8</v>
      </c>
    </row>
    <row r="22" spans="1:7">
      <c r="A22" s="1">
        <v>2024</v>
      </c>
      <c r="B22" s="160">
        <v>19.63</v>
      </c>
      <c r="C22" s="160">
        <v>16.079999999999998</v>
      </c>
      <c r="D22" s="2">
        <v>4.1000000000000003E-3</v>
      </c>
      <c r="E22" s="2">
        <v>5.2600000000000001E-2</v>
      </c>
      <c r="F22" s="2">
        <v>0.113</v>
      </c>
      <c r="G22" s="160">
        <v>0.85</v>
      </c>
    </row>
    <row r="23" spans="1:7">
      <c r="A23" s="1">
        <v>2025</v>
      </c>
      <c r="B23" s="160">
        <v>16.98</v>
      </c>
      <c r="C23" s="160">
        <v>17</v>
      </c>
      <c r="D23" s="2">
        <v>4.5999999999999999E-3</v>
      </c>
      <c r="E23" s="2">
        <v>6.2399999999999997E-2</v>
      </c>
      <c r="F23" s="2">
        <v>0.13200000000000001</v>
      </c>
      <c r="G23" s="160">
        <v>1.06</v>
      </c>
    </row>
    <row r="25" spans="1:7">
      <c r="A25" s="155" t="s">
        <v>128</v>
      </c>
    </row>
    <row r="26" spans="1:7" s="110" customFormat="1">
      <c r="A26" s="164" t="s">
        <v>0</v>
      </c>
      <c r="B26" s="164" t="s">
        <v>1</v>
      </c>
      <c r="C26" s="164" t="s">
        <v>2</v>
      </c>
      <c r="D26" s="164" t="s">
        <v>3</v>
      </c>
      <c r="E26" s="164" t="s">
        <v>4</v>
      </c>
      <c r="F26" s="164" t="s">
        <v>5</v>
      </c>
      <c r="G26" s="164" t="s">
        <v>91</v>
      </c>
    </row>
    <row r="27" spans="1:7">
      <c r="A27" s="1">
        <v>2021</v>
      </c>
      <c r="B27" s="160">
        <v>13.09</v>
      </c>
      <c r="C27" s="160">
        <v>35.71</v>
      </c>
      <c r="D27" s="2">
        <v>1.7299999999999999E-2</v>
      </c>
      <c r="E27" s="2">
        <v>0.14410000000000001</v>
      </c>
      <c r="F27" s="2">
        <v>0.42099999999999999</v>
      </c>
      <c r="G27" s="160">
        <v>5.15</v>
      </c>
    </row>
    <row r="28" spans="1:7">
      <c r="A28" s="1">
        <v>2022</v>
      </c>
      <c r="B28" s="160">
        <v>11.09</v>
      </c>
      <c r="C28" s="160">
        <v>39.369999999999997</v>
      </c>
      <c r="D28" s="2">
        <v>1.6500000000000001E-2</v>
      </c>
      <c r="E28" s="2">
        <v>0.12740000000000001</v>
      </c>
      <c r="F28" s="2">
        <v>0.47699999999999998</v>
      </c>
      <c r="G28" s="160">
        <v>5.01</v>
      </c>
    </row>
    <row r="29" spans="1:7">
      <c r="A29" s="1">
        <v>2023</v>
      </c>
      <c r="B29" s="160">
        <v>11.46</v>
      </c>
      <c r="C29" s="160">
        <v>42.78</v>
      </c>
      <c r="D29" s="2">
        <v>1.46E-2</v>
      </c>
      <c r="E29" s="2">
        <v>0.1134</v>
      </c>
      <c r="F29" s="2">
        <v>0.45400000000000001</v>
      </c>
      <c r="G29" s="160">
        <v>4.8499999999999996</v>
      </c>
    </row>
    <row r="30" spans="1:7">
      <c r="A30" s="1">
        <v>2024</v>
      </c>
      <c r="B30" s="160">
        <v>7.67</v>
      </c>
      <c r="C30" s="160">
        <v>46.33</v>
      </c>
      <c r="D30" s="2">
        <v>1.4999999999999999E-2</v>
      </c>
      <c r="E30" s="2">
        <v>0.1074</v>
      </c>
      <c r="F30" s="2">
        <v>0.39800000000000002</v>
      </c>
      <c r="G30" s="160">
        <v>4.97</v>
      </c>
    </row>
    <row r="31" spans="1:7">
      <c r="A31" s="1">
        <v>2025</v>
      </c>
      <c r="B31" s="160">
        <v>7.38</v>
      </c>
      <c r="C31" s="160">
        <v>49.55</v>
      </c>
      <c r="D31" s="2">
        <v>1.38E-2</v>
      </c>
      <c r="E31" s="2">
        <v>9.4700000000000006E-2</v>
      </c>
      <c r="F31" s="2">
        <v>0.38100000000000001</v>
      </c>
      <c r="G31" s="160">
        <v>4.6900000000000004</v>
      </c>
    </row>
    <row r="33" spans="1:7">
      <c r="A33" s="155" t="s">
        <v>94</v>
      </c>
    </row>
    <row r="34" spans="1:7" s="110" customFormat="1">
      <c r="A34" s="164" t="s">
        <v>0</v>
      </c>
      <c r="B34" s="164" t="s">
        <v>1</v>
      </c>
      <c r="C34" s="164" t="s">
        <v>2</v>
      </c>
      <c r="D34" s="164" t="s">
        <v>3</v>
      </c>
      <c r="E34" s="164" t="s">
        <v>4</v>
      </c>
      <c r="F34" s="164" t="s">
        <v>5</v>
      </c>
      <c r="G34" s="164" t="s">
        <v>91</v>
      </c>
    </row>
    <row r="35" spans="1:7">
      <c r="A35" s="1">
        <v>2021</v>
      </c>
      <c r="B35" s="160">
        <v>24.22</v>
      </c>
      <c r="C35" s="160">
        <v>25.26</v>
      </c>
      <c r="D35" s="2">
        <v>7.8299999999999995E-2</v>
      </c>
      <c r="E35" s="2">
        <v>0.1198</v>
      </c>
      <c r="F35" s="2">
        <v>0.32169999999999999</v>
      </c>
      <c r="G35" s="160">
        <v>3.03</v>
      </c>
    </row>
    <row r="36" spans="1:7">
      <c r="A36" s="1">
        <v>2022</v>
      </c>
      <c r="B36" s="160">
        <v>23.8</v>
      </c>
      <c r="C36" s="160">
        <v>25.82</v>
      </c>
      <c r="D36" s="2">
        <v>4.6300000000000001E-2</v>
      </c>
      <c r="E36" s="2">
        <v>7.2400000000000006E-2</v>
      </c>
      <c r="F36" s="2">
        <v>0.2228</v>
      </c>
      <c r="G36" s="160">
        <v>1.87</v>
      </c>
    </row>
    <row r="37" spans="1:7">
      <c r="A37" s="1">
        <v>2023</v>
      </c>
      <c r="B37" s="160">
        <v>32.770000000000003</v>
      </c>
      <c r="C37" s="160">
        <v>26.56</v>
      </c>
      <c r="D37" s="2">
        <v>4.1500000000000002E-2</v>
      </c>
      <c r="E37" s="2">
        <v>6.5299999999999997E-2</v>
      </c>
      <c r="F37" s="2">
        <v>0.2014</v>
      </c>
      <c r="G37" s="160">
        <v>1.73</v>
      </c>
    </row>
    <row r="38" spans="1:7">
      <c r="A38" s="1">
        <v>2024</v>
      </c>
      <c r="B38" s="160">
        <v>18.5</v>
      </c>
      <c r="C38" s="160">
        <v>27.25</v>
      </c>
      <c r="D38" s="2">
        <v>4.9799999999999997E-2</v>
      </c>
      <c r="E38" s="2">
        <v>8.1699999999999995E-2</v>
      </c>
      <c r="F38" s="2">
        <v>0.2041</v>
      </c>
      <c r="G38" s="160">
        <v>2.23</v>
      </c>
    </row>
    <row r="39" spans="1:7">
      <c r="A39" s="1">
        <v>2025</v>
      </c>
      <c r="B39" s="160">
        <v>19.649999999999999</v>
      </c>
      <c r="C39" s="160">
        <v>28.16</v>
      </c>
      <c r="D39" s="2">
        <v>4.9700000000000001E-2</v>
      </c>
      <c r="E39" s="2">
        <v>7.7899999999999997E-2</v>
      </c>
      <c r="F39" s="2">
        <v>0.2029</v>
      </c>
      <c r="G39" s="160">
        <v>2.19</v>
      </c>
    </row>
    <row r="41" spans="1:7">
      <c r="A41" s="155" t="s">
        <v>95</v>
      </c>
    </row>
    <row r="42" spans="1:7" s="110" customFormat="1">
      <c r="A42" s="164" t="s">
        <v>0</v>
      </c>
      <c r="B42" s="164" t="s">
        <v>1</v>
      </c>
      <c r="C42" s="164" t="s">
        <v>2</v>
      </c>
      <c r="D42" s="164" t="s">
        <v>3</v>
      </c>
      <c r="E42" s="164" t="s">
        <v>4</v>
      </c>
      <c r="F42" s="164" t="s">
        <v>5</v>
      </c>
      <c r="G42" s="164" t="s">
        <v>91</v>
      </c>
    </row>
    <row r="43" spans="1:7">
      <c r="A43" s="1">
        <v>2021</v>
      </c>
      <c r="B43" s="160">
        <v>29.39</v>
      </c>
      <c r="C43" s="160">
        <v>21.96</v>
      </c>
      <c r="D43" s="2">
        <v>6.9400000000000003E-2</v>
      </c>
      <c r="E43" s="2">
        <v>0.1061</v>
      </c>
      <c r="F43" s="2">
        <v>0.25009999999999999</v>
      </c>
      <c r="G43" s="160">
        <v>2.33</v>
      </c>
    </row>
    <row r="44" spans="1:7">
      <c r="A44" s="1">
        <v>2022</v>
      </c>
      <c r="B44" s="160">
        <v>17.59</v>
      </c>
      <c r="C44" s="160">
        <v>22.53</v>
      </c>
      <c r="D44" s="2">
        <v>6.8000000000000005E-2</v>
      </c>
      <c r="E44" s="2">
        <v>0.105</v>
      </c>
      <c r="F44" s="2">
        <v>0.22739999999999999</v>
      </c>
      <c r="G44" s="160">
        <v>2.37</v>
      </c>
    </row>
    <row r="45" spans="1:7">
      <c r="A45" s="1">
        <v>2023</v>
      </c>
      <c r="B45" s="160">
        <v>24.23</v>
      </c>
      <c r="C45" s="160">
        <v>23.1</v>
      </c>
      <c r="D45" s="2">
        <v>5.6399999999999999E-2</v>
      </c>
      <c r="E45" s="2">
        <v>8.9499999999999996E-2</v>
      </c>
      <c r="F45" s="3">
        <v>0.17</v>
      </c>
      <c r="G45" s="160">
        <v>2.0699999999999998</v>
      </c>
    </row>
    <row r="46" spans="1:7">
      <c r="A46" s="1">
        <v>2024</v>
      </c>
      <c r="B46" s="160">
        <v>16.89</v>
      </c>
      <c r="C46" s="160">
        <v>23.8</v>
      </c>
      <c r="D46" s="2">
        <v>4.9799999999999997E-2</v>
      </c>
      <c r="E46" s="2">
        <v>7.9600000000000004E-2</v>
      </c>
      <c r="F46" s="2">
        <v>0.18279999999999999</v>
      </c>
      <c r="G46" s="160">
        <v>1.89</v>
      </c>
    </row>
    <row r="47" spans="1:7">
      <c r="A47" s="1">
        <v>2025</v>
      </c>
      <c r="B47" s="160">
        <v>12.17</v>
      </c>
      <c r="C47" s="160">
        <v>25.29</v>
      </c>
      <c r="D47" s="2">
        <v>5.8099999999999999E-2</v>
      </c>
      <c r="E47" s="2">
        <v>9.9099999999999994E-2</v>
      </c>
      <c r="F47" s="2">
        <v>0.15679999999999999</v>
      </c>
      <c r="G47" s="160">
        <v>2.5099999999999998</v>
      </c>
    </row>
    <row r="49" spans="1:7">
      <c r="A49" s="155" t="s">
        <v>96</v>
      </c>
    </row>
    <row r="50" spans="1:7" s="110" customFormat="1">
      <c r="A50" s="164" t="s">
        <v>0</v>
      </c>
      <c r="B50" s="164" t="s">
        <v>1</v>
      </c>
      <c r="C50" s="164" t="s">
        <v>2</v>
      </c>
      <c r="D50" s="164" t="s">
        <v>3</v>
      </c>
      <c r="E50" s="164" t="s">
        <v>4</v>
      </c>
      <c r="F50" s="164" t="s">
        <v>5</v>
      </c>
      <c r="G50" s="164" t="s">
        <v>91</v>
      </c>
    </row>
    <row r="51" spans="1:7">
      <c r="A51" s="1">
        <v>2021</v>
      </c>
      <c r="B51" s="160">
        <v>25.05</v>
      </c>
      <c r="C51" s="160">
        <v>10.88</v>
      </c>
      <c r="D51" s="2">
        <v>4.4200000000000003E-2</v>
      </c>
      <c r="E51" s="2">
        <v>8.8999999999999996E-2</v>
      </c>
      <c r="F51" s="2">
        <v>0.11169999999999999</v>
      </c>
      <c r="G51" s="160">
        <v>1.22</v>
      </c>
    </row>
    <row r="52" spans="1:7">
      <c r="A52" s="1">
        <v>2022</v>
      </c>
      <c r="B52" s="160">
        <v>29.29</v>
      </c>
      <c r="C52" s="160">
        <v>11.16</v>
      </c>
      <c r="D52" s="2">
        <v>5.3100000000000001E-2</v>
      </c>
      <c r="E52" s="2">
        <v>0.1109</v>
      </c>
      <c r="F52" s="2">
        <v>0.12659999999999999</v>
      </c>
      <c r="G52" s="160">
        <v>1.24</v>
      </c>
    </row>
    <row r="53" spans="1:7">
      <c r="A53" s="1">
        <v>2023</v>
      </c>
      <c r="B53" s="160">
        <v>30.6</v>
      </c>
      <c r="C53" s="160">
        <v>11.2</v>
      </c>
      <c r="D53" s="2">
        <v>4.0099999999999997E-2</v>
      </c>
      <c r="E53" s="2">
        <v>9.5699999999999993E-2</v>
      </c>
      <c r="F53" s="2">
        <v>0.1115</v>
      </c>
      <c r="G53" s="160">
        <v>1.07</v>
      </c>
    </row>
    <row r="54" spans="1:7">
      <c r="A54" s="1">
        <v>2024</v>
      </c>
      <c r="B54" s="160">
        <v>60.45</v>
      </c>
      <c r="C54" s="160">
        <v>10.74</v>
      </c>
      <c r="D54" s="2">
        <v>3.5700000000000003E-2</v>
      </c>
      <c r="E54" s="2">
        <v>0.11550000000000001</v>
      </c>
      <c r="F54" s="2">
        <v>0.1227</v>
      </c>
      <c r="G54" s="160">
        <v>1.24</v>
      </c>
    </row>
    <row r="55" spans="1:7">
      <c r="A55" s="1">
        <v>2025</v>
      </c>
      <c r="B55" s="160">
        <v>59.87</v>
      </c>
      <c r="C55" s="160">
        <v>11.44</v>
      </c>
      <c r="D55" s="2">
        <v>3.9600000000000003E-2</v>
      </c>
      <c r="E55" s="2">
        <v>0.1371</v>
      </c>
      <c r="F55" s="2">
        <v>0.1338</v>
      </c>
      <c r="G55" s="160">
        <v>1.57</v>
      </c>
    </row>
    <row r="57" spans="1:7">
      <c r="A57" s="155" t="s">
        <v>97</v>
      </c>
    </row>
    <row r="58" spans="1:7" s="110" customFormat="1">
      <c r="A58" s="164" t="s">
        <v>0</v>
      </c>
      <c r="B58" s="164" t="s">
        <v>1</v>
      </c>
      <c r="C58" s="164" t="s">
        <v>2</v>
      </c>
      <c r="D58" s="164" t="s">
        <v>3</v>
      </c>
      <c r="E58" s="164" t="s">
        <v>4</v>
      </c>
      <c r="F58" s="164" t="s">
        <v>5</v>
      </c>
      <c r="G58" s="164" t="s">
        <v>91</v>
      </c>
    </row>
    <row r="59" spans="1:7">
      <c r="A59" s="1">
        <v>2021</v>
      </c>
      <c r="B59" s="156" t="s">
        <v>170</v>
      </c>
      <c r="C59" s="156">
        <v>10.48</v>
      </c>
      <c r="D59" s="158">
        <v>-6.7000000000000002E-3</v>
      </c>
      <c r="E59" s="158">
        <v>-1.0500000000000001E-2</v>
      </c>
      <c r="F59" s="158">
        <v>-2.6700000000000002E-2</v>
      </c>
      <c r="G59" s="156">
        <v>-0.11</v>
      </c>
    </row>
    <row r="60" spans="1:7">
      <c r="A60" s="1">
        <v>2022</v>
      </c>
      <c r="B60" s="161">
        <v>1848.08</v>
      </c>
      <c r="C60" s="156">
        <v>10.49</v>
      </c>
      <c r="D60" s="158">
        <v>4.3E-3</v>
      </c>
      <c r="E60" s="158">
        <v>2.3E-3</v>
      </c>
      <c r="F60" s="158">
        <v>5.7000000000000002E-3</v>
      </c>
      <c r="G60" s="156">
        <v>0.02</v>
      </c>
    </row>
    <row r="61" spans="1:7">
      <c r="A61" s="1">
        <v>2023</v>
      </c>
      <c r="B61" s="161">
        <v>1790.91</v>
      </c>
      <c r="C61" s="156">
        <v>10.45</v>
      </c>
      <c r="D61" s="158">
        <v>5.7000000000000002E-3</v>
      </c>
      <c r="E61" s="158">
        <v>6.1999999999999998E-3</v>
      </c>
      <c r="F61" s="158">
        <v>1.49E-2</v>
      </c>
      <c r="G61" s="156">
        <v>7.0000000000000007E-2</v>
      </c>
    </row>
    <row r="62" spans="1:7">
      <c r="A62" s="1">
        <v>2024</v>
      </c>
      <c r="B62" s="156">
        <v>186.86</v>
      </c>
      <c r="C62" s="156">
        <v>11.2</v>
      </c>
      <c r="D62" s="158">
        <v>5.7700000000000001E-2</v>
      </c>
      <c r="E62" s="158">
        <v>8.0799999999999997E-2</v>
      </c>
      <c r="F62" s="158">
        <v>0.16819999999999999</v>
      </c>
      <c r="G62" s="156">
        <v>0.88</v>
      </c>
    </row>
    <row r="63" spans="1:7">
      <c r="A63" s="1">
        <v>2025</v>
      </c>
      <c r="B63" s="156">
        <v>56.6</v>
      </c>
      <c r="C63" s="156">
        <v>14.58</v>
      </c>
      <c r="D63" s="158">
        <v>0.21840000000000001</v>
      </c>
      <c r="E63" s="158">
        <v>0.32229999999999998</v>
      </c>
      <c r="F63" s="158">
        <v>0.49170000000000003</v>
      </c>
      <c r="G63" s="156">
        <v>4.18</v>
      </c>
    </row>
    <row r="65" spans="1:7">
      <c r="A65" s="155" t="s">
        <v>7</v>
      </c>
    </row>
    <row r="66" spans="1:7" s="110" customFormat="1">
      <c r="A66" s="164" t="s">
        <v>0</v>
      </c>
      <c r="B66" s="164" t="s">
        <v>1</v>
      </c>
      <c r="C66" s="164" t="s">
        <v>2</v>
      </c>
      <c r="D66" s="164" t="s">
        <v>3</v>
      </c>
      <c r="E66" s="164" t="s">
        <v>4</v>
      </c>
      <c r="F66" s="164" t="s">
        <v>5</v>
      </c>
      <c r="G66" s="164" t="s">
        <v>91</v>
      </c>
    </row>
    <row r="67" spans="1:7">
      <c r="A67" s="195">
        <v>2021</v>
      </c>
      <c r="B67" s="156">
        <v>15.25</v>
      </c>
      <c r="C67" s="156">
        <v>47.64</v>
      </c>
      <c r="D67" s="158">
        <v>0.1152</v>
      </c>
      <c r="E67" s="158">
        <v>0.2331</v>
      </c>
      <c r="F67" s="158">
        <v>0.113</v>
      </c>
      <c r="G67" s="156">
        <v>10.19</v>
      </c>
    </row>
    <row r="68" spans="1:7">
      <c r="A68" s="195">
        <v>2022</v>
      </c>
      <c r="B68" s="156">
        <v>17.100000000000001</v>
      </c>
      <c r="C68" s="156">
        <v>43.94</v>
      </c>
      <c r="D68" s="158">
        <v>6.3799999999999996E-2</v>
      </c>
      <c r="E68" s="158">
        <v>0.12959999999999999</v>
      </c>
      <c r="F68" s="158">
        <v>5.62E-2</v>
      </c>
      <c r="G68" s="156">
        <v>6.03</v>
      </c>
    </row>
    <row r="69" spans="1:7">
      <c r="A69" s="195">
        <v>2023</v>
      </c>
      <c r="B69" s="156">
        <v>13.82</v>
      </c>
      <c r="C69" s="156">
        <v>44.1</v>
      </c>
      <c r="D69" s="158">
        <v>9.1899999999999996E-2</v>
      </c>
      <c r="E69" s="158">
        <v>0.1605</v>
      </c>
      <c r="F69" s="158">
        <v>6.0299999999999999E-2</v>
      </c>
      <c r="G69" s="156">
        <v>7.78</v>
      </c>
    </row>
    <row r="70" spans="1:7">
      <c r="A70" s="195">
        <v>2024</v>
      </c>
      <c r="B70" s="156">
        <v>12.65</v>
      </c>
      <c r="C70" s="156">
        <v>45.67</v>
      </c>
      <c r="D70" s="158">
        <v>9.74E-2</v>
      </c>
      <c r="E70" s="158">
        <v>0.1774</v>
      </c>
      <c r="F70" s="158">
        <v>7.0699999999999999E-2</v>
      </c>
      <c r="G70" s="156">
        <v>9.17</v>
      </c>
    </row>
    <row r="71" spans="1:7">
      <c r="A71" s="195">
        <v>2025</v>
      </c>
      <c r="B71" s="156">
        <v>14.43</v>
      </c>
      <c r="C71" s="156">
        <v>52.37</v>
      </c>
      <c r="D71" s="158">
        <v>9.01E-2</v>
      </c>
      <c r="E71" s="158">
        <v>0.1739</v>
      </c>
      <c r="F71" s="158">
        <v>7.2499999999999995E-2</v>
      </c>
      <c r="G71" s="156">
        <v>10.06</v>
      </c>
    </row>
    <row r="73" spans="1:7">
      <c r="A73" s="155" t="s">
        <v>101</v>
      </c>
    </row>
    <row r="74" spans="1:7" s="110" customFormat="1">
      <c r="A74" s="164" t="s">
        <v>0</v>
      </c>
      <c r="B74" s="164" t="s">
        <v>1</v>
      </c>
      <c r="C74" s="164" t="s">
        <v>2</v>
      </c>
      <c r="D74" s="164" t="s">
        <v>3</v>
      </c>
      <c r="E74" s="164" t="s">
        <v>4</v>
      </c>
      <c r="F74" s="164" t="s">
        <v>5</v>
      </c>
      <c r="G74" s="164" t="s">
        <v>91</v>
      </c>
    </row>
    <row r="75" spans="1:7">
      <c r="A75" s="1">
        <v>2021</v>
      </c>
      <c r="B75" s="160">
        <v>22.07</v>
      </c>
      <c r="C75" s="160">
        <v>55.48</v>
      </c>
      <c r="D75" s="2">
        <v>4.6199999999999998E-2</v>
      </c>
      <c r="E75" s="2">
        <v>8.4500000000000006E-2</v>
      </c>
      <c r="F75" s="2">
        <v>6.3299999999999995E-2</v>
      </c>
      <c r="G75" s="160">
        <v>5.37</v>
      </c>
    </row>
    <row r="76" spans="1:7">
      <c r="A76" s="1">
        <v>2022</v>
      </c>
      <c r="B76" s="160">
        <v>20.05</v>
      </c>
      <c r="C76" s="160">
        <v>59.94</v>
      </c>
      <c r="D76" s="2">
        <v>4.0599999999999997E-2</v>
      </c>
      <c r="E76" s="2">
        <v>8.09E-2</v>
      </c>
      <c r="F76" s="2">
        <v>5.79E-2</v>
      </c>
      <c r="G76" s="160">
        <v>4.8499999999999996</v>
      </c>
    </row>
    <row r="77" spans="1:7">
      <c r="A77" s="1">
        <v>2023</v>
      </c>
      <c r="B77" s="160">
        <v>19.850000000000001</v>
      </c>
      <c r="C77" s="160">
        <v>73.319999999999993</v>
      </c>
      <c r="D77" s="2">
        <v>3.4200000000000001E-2</v>
      </c>
      <c r="E77" s="2">
        <v>6.7799999999999999E-2</v>
      </c>
      <c r="F77" s="2">
        <v>5.8900000000000001E-2</v>
      </c>
      <c r="G77" s="160">
        <v>4.97</v>
      </c>
    </row>
    <row r="78" spans="1:7">
      <c r="A78" s="1">
        <v>2024</v>
      </c>
      <c r="B78" s="160">
        <v>11.72</v>
      </c>
      <c r="C78" s="160">
        <v>78.209999999999994</v>
      </c>
      <c r="D78" s="2">
        <v>3.7199999999999997E-2</v>
      </c>
      <c r="E78" s="2">
        <v>6.6799999999999998E-2</v>
      </c>
      <c r="F78" s="2">
        <v>6.0499999999999998E-2</v>
      </c>
      <c r="G78" s="160">
        <v>5.22</v>
      </c>
    </row>
    <row r="79" spans="1:7">
      <c r="A79" s="1">
        <v>2025</v>
      </c>
      <c r="B79" s="160">
        <v>11.3</v>
      </c>
      <c r="C79" s="160">
        <v>81.66</v>
      </c>
      <c r="D79" s="2">
        <v>3.6299999999999999E-2</v>
      </c>
      <c r="E79" s="2">
        <v>6.4399999999999999E-2</v>
      </c>
      <c r="F79" s="2">
        <v>5.9200000000000003E-2</v>
      </c>
      <c r="G79" s="160">
        <v>5.26</v>
      </c>
    </row>
    <row r="81" spans="1:7">
      <c r="A81" s="155" t="s">
        <v>100</v>
      </c>
    </row>
    <row r="82" spans="1:7" s="110" customFormat="1">
      <c r="A82" s="164" t="s">
        <v>0</v>
      </c>
      <c r="B82" s="164" t="s">
        <v>1</v>
      </c>
      <c r="C82" s="164" t="s">
        <v>2</v>
      </c>
      <c r="D82" s="164" t="s">
        <v>3</v>
      </c>
      <c r="E82" s="164" t="s">
        <v>4</v>
      </c>
      <c r="F82" s="164" t="s">
        <v>5</v>
      </c>
      <c r="G82" s="164" t="s">
        <v>91</v>
      </c>
    </row>
    <row r="83" spans="1:7">
      <c r="A83" s="1">
        <v>2021</v>
      </c>
      <c r="B83" s="160">
        <v>25.14</v>
      </c>
      <c r="C83" s="160">
        <v>147.02000000000001</v>
      </c>
      <c r="D83" s="2">
        <v>6.0000000000000001E-3</v>
      </c>
      <c r="E83" s="2">
        <v>3.6499999999999998E-2</v>
      </c>
      <c r="F83" s="2">
        <v>8.9999999999999993E-3</v>
      </c>
      <c r="G83" s="160">
        <v>5.36</v>
      </c>
    </row>
    <row r="84" spans="1:7">
      <c r="A84" s="1">
        <v>2022</v>
      </c>
      <c r="B84" s="160">
        <v>23.2</v>
      </c>
      <c r="C84" s="160">
        <v>152.06</v>
      </c>
      <c r="D84" s="2">
        <v>6.7999999999999996E-3</v>
      </c>
      <c r="E84" s="2">
        <v>4.6300000000000001E-2</v>
      </c>
      <c r="F84" s="2">
        <v>1.0699999999999999E-2</v>
      </c>
      <c r="G84" s="160">
        <v>7.03</v>
      </c>
    </row>
    <row r="85" spans="1:7">
      <c r="A85" s="1">
        <v>2023</v>
      </c>
      <c r="B85" s="160">
        <v>24.44</v>
      </c>
      <c r="C85" s="160">
        <v>158.47</v>
      </c>
      <c r="D85" s="2">
        <v>6.7999999999999996E-3</v>
      </c>
      <c r="E85" s="2">
        <v>5.3699999999999998E-2</v>
      </c>
      <c r="F85" s="2">
        <v>1.01E-2</v>
      </c>
      <c r="G85" s="160">
        <v>8.5</v>
      </c>
    </row>
    <row r="86" spans="1:7">
      <c r="A86" s="1">
        <v>2024</v>
      </c>
      <c r="B86" s="160">
        <v>19.350000000000001</v>
      </c>
      <c r="C86" s="160">
        <v>345.04</v>
      </c>
      <c r="D86" s="2">
        <v>6.1999999999999998E-3</v>
      </c>
      <c r="E86" s="2">
        <v>2.5999999999999999E-2</v>
      </c>
      <c r="F86" s="2">
        <v>1.18E-2</v>
      </c>
      <c r="G86" s="160">
        <v>8.98</v>
      </c>
    </row>
    <row r="87" spans="1:7">
      <c r="A87" s="1">
        <v>2025</v>
      </c>
      <c r="B87" s="160">
        <v>23.59</v>
      </c>
      <c r="C87" s="160">
        <v>349.41</v>
      </c>
      <c r="D87" s="2">
        <v>4.4000000000000003E-3</v>
      </c>
      <c r="E87" s="2">
        <v>1.9699999999999999E-2</v>
      </c>
      <c r="F87" s="2">
        <v>7.6E-3</v>
      </c>
      <c r="G87" s="160">
        <v>6.9</v>
      </c>
    </row>
    <row r="89" spans="1:7">
      <c r="A89" s="155" t="s">
        <v>99</v>
      </c>
    </row>
    <row r="90" spans="1:7" s="110" customFormat="1">
      <c r="A90" s="164" t="s">
        <v>0</v>
      </c>
      <c r="B90" s="164" t="s">
        <v>1</v>
      </c>
      <c r="C90" s="164" t="s">
        <v>2</v>
      </c>
      <c r="D90" s="164" t="s">
        <v>3</v>
      </c>
      <c r="E90" s="164" t="s">
        <v>4</v>
      </c>
      <c r="F90" s="164" t="s">
        <v>5</v>
      </c>
      <c r="G90" s="164" t="s">
        <v>91</v>
      </c>
    </row>
    <row r="91" spans="1:7">
      <c r="A91" s="1">
        <v>2021</v>
      </c>
      <c r="B91" s="160">
        <v>8.51</v>
      </c>
      <c r="C91" s="160">
        <v>66.3</v>
      </c>
      <c r="D91" s="2">
        <v>0.108</v>
      </c>
      <c r="E91" s="2">
        <v>0.21690000000000001</v>
      </c>
      <c r="F91" s="2">
        <v>0.26860000000000001</v>
      </c>
      <c r="G91" s="160">
        <v>14.38</v>
      </c>
    </row>
    <row r="92" spans="1:7">
      <c r="A92" s="1">
        <v>2022</v>
      </c>
      <c r="B92" s="160">
        <v>78.67</v>
      </c>
      <c r="C92" s="160">
        <v>65.09</v>
      </c>
      <c r="D92" s="2">
        <v>8.3000000000000001E-3</v>
      </c>
      <c r="E92" s="2">
        <v>1.83E-2</v>
      </c>
      <c r="F92" s="2">
        <v>2.53E-2</v>
      </c>
      <c r="G92" s="160">
        <v>1.19</v>
      </c>
    </row>
    <row r="93" spans="1:7">
      <c r="A93" s="1">
        <v>2023</v>
      </c>
      <c r="B93" s="160">
        <v>26.92</v>
      </c>
      <c r="C93" s="160">
        <v>66.569999999999993</v>
      </c>
      <c r="D93" s="2">
        <v>2.0199999999999999E-2</v>
      </c>
      <c r="E93" s="2">
        <v>4.7300000000000002E-2</v>
      </c>
      <c r="F93" s="2">
        <v>5.96E-2</v>
      </c>
      <c r="G93" s="160">
        <v>3.15</v>
      </c>
    </row>
    <row r="94" spans="1:7">
      <c r="A94" s="1">
        <v>2024</v>
      </c>
      <c r="B94" s="160">
        <v>7.76</v>
      </c>
      <c r="C94" s="160">
        <v>74.77</v>
      </c>
      <c r="D94" s="2">
        <v>5.2699999999999997E-2</v>
      </c>
      <c r="E94" s="2">
        <v>0.1168</v>
      </c>
      <c r="F94" s="2">
        <v>0.18410000000000001</v>
      </c>
      <c r="G94" s="160">
        <v>8.73</v>
      </c>
    </row>
    <row r="95" spans="1:7">
      <c r="A95" s="1">
        <v>2025</v>
      </c>
      <c r="B95" s="160">
        <v>4.43</v>
      </c>
      <c r="C95" s="160">
        <v>88.7</v>
      </c>
      <c r="D95" s="2">
        <v>6.2799999999999995E-2</v>
      </c>
      <c r="E95" s="2">
        <v>0.12659999999999999</v>
      </c>
      <c r="F95" s="2">
        <v>0.23669999999999999</v>
      </c>
      <c r="G95" s="160">
        <v>11.23</v>
      </c>
    </row>
    <row r="97" spans="1:7">
      <c r="A97" s="155" t="s">
        <v>98</v>
      </c>
    </row>
    <row r="98" spans="1:7" s="110" customFormat="1">
      <c r="A98" s="164" t="s">
        <v>0</v>
      </c>
      <c r="B98" s="164" t="s">
        <v>1</v>
      </c>
      <c r="C98" s="164" t="s">
        <v>2</v>
      </c>
      <c r="D98" s="164" t="s">
        <v>3</v>
      </c>
      <c r="E98" s="164" t="s">
        <v>4</v>
      </c>
      <c r="F98" s="164" t="s">
        <v>5</v>
      </c>
      <c r="G98" s="164" t="s">
        <v>91</v>
      </c>
    </row>
    <row r="99" spans="1:7">
      <c r="A99" s="1">
        <v>2021</v>
      </c>
      <c r="B99" s="160">
        <v>15.76</v>
      </c>
      <c r="C99" s="160">
        <v>68.819999999999993</v>
      </c>
      <c r="D99" s="2">
        <v>0.12720000000000001</v>
      </c>
      <c r="E99" s="2">
        <v>0.22750000000000001</v>
      </c>
      <c r="F99" s="2">
        <v>6.6299999999999998E-2</v>
      </c>
      <c r="G99" s="160">
        <v>15.66</v>
      </c>
    </row>
    <row r="100" spans="1:7">
      <c r="A100" s="1">
        <v>2022</v>
      </c>
      <c r="B100" s="160">
        <v>15.3</v>
      </c>
      <c r="C100" s="160">
        <v>84.03</v>
      </c>
      <c r="D100" s="2">
        <v>0.1406</v>
      </c>
      <c r="E100" s="2">
        <v>0.23080000000000001</v>
      </c>
      <c r="F100" s="2">
        <v>7.1400000000000005E-2</v>
      </c>
      <c r="G100" s="160">
        <v>19.39</v>
      </c>
    </row>
    <row r="101" spans="1:7">
      <c r="A101" s="1">
        <v>2023</v>
      </c>
      <c r="B101" s="160">
        <v>14.79</v>
      </c>
      <c r="C101" s="160">
        <v>97.82</v>
      </c>
      <c r="D101" s="2">
        <v>0.12089999999999999</v>
      </c>
      <c r="E101" s="2">
        <v>0.1981</v>
      </c>
      <c r="F101" s="2">
        <v>6.6299999999999998E-2</v>
      </c>
      <c r="G101" s="160">
        <v>19.38</v>
      </c>
    </row>
    <row r="102" spans="1:7">
      <c r="A102" s="1">
        <v>2024</v>
      </c>
      <c r="B102" s="160">
        <v>11.64</v>
      </c>
      <c r="C102" s="160">
        <v>113.09</v>
      </c>
      <c r="D102" s="2">
        <v>0.10299999999999999</v>
      </c>
      <c r="E102" s="2">
        <v>0.1898</v>
      </c>
      <c r="F102" s="2">
        <v>5.8999999999999997E-2</v>
      </c>
      <c r="G102" s="160">
        <v>21.46</v>
      </c>
    </row>
    <row r="103" spans="1:7">
      <c r="A103" s="1">
        <v>2025</v>
      </c>
      <c r="B103" s="160">
        <v>14.51</v>
      </c>
      <c r="C103" s="160">
        <v>127.98</v>
      </c>
      <c r="D103" s="2">
        <v>8.3900000000000002E-2</v>
      </c>
      <c r="E103" s="2">
        <v>0.15840000000000001</v>
      </c>
      <c r="F103" s="2">
        <v>5.33E-2</v>
      </c>
      <c r="G103" s="160">
        <v>20.27</v>
      </c>
    </row>
    <row r="105" spans="1:7">
      <c r="A105" s="155" t="s">
        <v>8</v>
      </c>
    </row>
    <row r="106" spans="1:7" s="110" customFormat="1">
      <c r="A106" s="164" t="s">
        <v>0</v>
      </c>
      <c r="B106" s="164" t="s">
        <v>1</v>
      </c>
      <c r="C106" s="164" t="s">
        <v>2</v>
      </c>
      <c r="D106" s="164" t="s">
        <v>3</v>
      </c>
      <c r="E106" s="164" t="s">
        <v>4</v>
      </c>
      <c r="F106" s="164" t="s">
        <v>5</v>
      </c>
      <c r="G106" s="164" t="s">
        <v>91</v>
      </c>
    </row>
    <row r="107" spans="1:7">
      <c r="A107" s="1">
        <v>2021</v>
      </c>
      <c r="B107" s="156">
        <v>25.41</v>
      </c>
      <c r="C107" s="156">
        <v>153.1</v>
      </c>
      <c r="D107" s="2">
        <v>0.14560000000000001</v>
      </c>
      <c r="E107" s="2">
        <v>0.19689999999999999</v>
      </c>
      <c r="F107" s="158">
        <v>0.16889999999999999</v>
      </c>
      <c r="G107" s="156">
        <v>44.13</v>
      </c>
    </row>
    <row r="108" spans="1:7">
      <c r="A108" s="1">
        <v>2022</v>
      </c>
      <c r="B108" s="156">
        <v>28.22</v>
      </c>
      <c r="C108" s="156">
        <v>153.52000000000001</v>
      </c>
      <c r="D108" s="2">
        <v>0.1216</v>
      </c>
      <c r="E108" s="2">
        <v>0.17380000000000001</v>
      </c>
      <c r="F108" s="158">
        <v>0.16450000000000001</v>
      </c>
      <c r="G108" s="156">
        <v>44.56</v>
      </c>
    </row>
    <row r="109" spans="1:7">
      <c r="A109" s="1">
        <v>2023</v>
      </c>
      <c r="B109" s="156">
        <v>59.72</v>
      </c>
      <c r="C109" s="156">
        <v>159.33000000000001</v>
      </c>
      <c r="D109" s="2">
        <v>4.7899999999999998E-2</v>
      </c>
      <c r="E109" s="2">
        <v>7.6399999999999996E-2</v>
      </c>
      <c r="F109" s="158">
        <v>7.0900000000000005E-2</v>
      </c>
      <c r="G109" s="156">
        <v>20.399999999999999</v>
      </c>
    </row>
    <row r="110" spans="1:7">
      <c r="A110" s="1">
        <v>2024</v>
      </c>
      <c r="B110" s="156">
        <v>24.43</v>
      </c>
      <c r="C110" s="156">
        <v>173.12</v>
      </c>
      <c r="D110" s="2">
        <v>6.4000000000000001E-2</v>
      </c>
      <c r="E110" s="2">
        <v>0.1067</v>
      </c>
      <c r="F110" s="158">
        <v>9.5899999999999999E-2</v>
      </c>
      <c r="G110" s="156">
        <v>31.53</v>
      </c>
    </row>
    <row r="111" spans="1:7">
      <c r="A111" s="1">
        <v>2025</v>
      </c>
      <c r="B111" s="156">
        <v>25.22</v>
      </c>
      <c r="C111" s="156">
        <v>185.96</v>
      </c>
      <c r="D111" s="2">
        <v>3.7600000000000001E-2</v>
      </c>
      <c r="E111" s="2">
        <v>6.3399999999999998E-2</v>
      </c>
      <c r="F111" s="158">
        <v>5.1799999999999999E-2</v>
      </c>
      <c r="G111" s="156">
        <v>19.36</v>
      </c>
    </row>
    <row r="113" spans="1:7">
      <c r="A113" s="155" t="s">
        <v>9</v>
      </c>
    </row>
    <row r="114" spans="1:7" s="110" customFormat="1">
      <c r="A114" s="164" t="s">
        <v>0</v>
      </c>
      <c r="B114" s="164" t="s">
        <v>1</v>
      </c>
      <c r="C114" s="164" t="s">
        <v>2</v>
      </c>
      <c r="D114" s="164" t="s">
        <v>3</v>
      </c>
      <c r="E114" s="164" t="s">
        <v>4</v>
      </c>
      <c r="F114" s="164" t="s">
        <v>5</v>
      </c>
      <c r="G114" s="164" t="s">
        <v>91</v>
      </c>
    </row>
    <row r="115" spans="1:7">
      <c r="A115" s="1">
        <v>2021</v>
      </c>
      <c r="B115" s="163" t="s">
        <v>130</v>
      </c>
      <c r="C115" s="163" t="s">
        <v>130</v>
      </c>
      <c r="D115" s="163" t="s">
        <v>130</v>
      </c>
      <c r="E115" s="163" t="s">
        <v>130</v>
      </c>
      <c r="F115" s="163" t="s">
        <v>130</v>
      </c>
      <c r="G115" s="160">
        <v>98.69</v>
      </c>
    </row>
    <row r="116" spans="1:7">
      <c r="A116" s="1">
        <v>2022</v>
      </c>
      <c r="B116" s="160">
        <v>20.88</v>
      </c>
      <c r="C116" s="160">
        <v>85.37</v>
      </c>
      <c r="D116" s="2">
        <v>0.50429999999999997</v>
      </c>
      <c r="E116" s="2">
        <v>1.3217000000000001</v>
      </c>
      <c r="F116" s="2">
        <v>0.2727</v>
      </c>
      <c r="G116" s="160">
        <v>112.82</v>
      </c>
    </row>
    <row r="117" spans="1:7">
      <c r="A117" s="1">
        <v>2023</v>
      </c>
      <c r="B117" s="160">
        <v>19.7</v>
      </c>
      <c r="C117" s="160">
        <v>113.84</v>
      </c>
      <c r="D117" s="2">
        <v>0.33279999999999998</v>
      </c>
      <c r="E117" s="2">
        <v>1.0798000000000001</v>
      </c>
      <c r="F117" s="2">
        <v>0.27389999999999998</v>
      </c>
      <c r="G117" s="160">
        <v>122.93</v>
      </c>
    </row>
    <row r="118" spans="1:7">
      <c r="A118" s="1">
        <v>2024</v>
      </c>
      <c r="B118" s="160">
        <v>16.72</v>
      </c>
      <c r="C118" s="160">
        <v>260.63</v>
      </c>
      <c r="D118" s="2">
        <v>0.27239999999999998</v>
      </c>
      <c r="E118" s="2">
        <v>0.56100000000000005</v>
      </c>
      <c r="F118" s="2">
        <v>0.31709999999999999</v>
      </c>
      <c r="G118" s="160">
        <v>146.22999999999999</v>
      </c>
    </row>
    <row r="119" spans="1:7">
      <c r="A119" s="1">
        <v>2025</v>
      </c>
      <c r="B119" s="160">
        <v>12.99</v>
      </c>
      <c r="C119" s="160">
        <v>239.14</v>
      </c>
      <c r="D119" s="2">
        <v>0.42670000000000002</v>
      </c>
      <c r="E119" s="2">
        <v>0.78400000000000003</v>
      </c>
      <c r="F119" s="2">
        <v>0.36209999999999998</v>
      </c>
      <c r="G119" s="160">
        <v>187.49</v>
      </c>
    </row>
    <row r="121" spans="1:7">
      <c r="A121" s="155" t="s">
        <v>10</v>
      </c>
    </row>
    <row r="122" spans="1:7" s="110" customFormat="1">
      <c r="A122" s="164" t="s">
        <v>0</v>
      </c>
      <c r="B122" s="164" t="s">
        <v>1</v>
      </c>
      <c r="C122" s="164" t="s">
        <v>2</v>
      </c>
      <c r="D122" s="164" t="s">
        <v>3</v>
      </c>
      <c r="E122" s="164" t="s">
        <v>4</v>
      </c>
      <c r="F122" s="164" t="s">
        <v>5</v>
      </c>
      <c r="G122" s="164" t="s">
        <v>91</v>
      </c>
    </row>
    <row r="123" spans="1:7">
      <c r="A123" s="1">
        <v>2021</v>
      </c>
      <c r="B123" s="160">
        <v>33.5</v>
      </c>
      <c r="C123" s="160">
        <v>200.65</v>
      </c>
      <c r="D123" s="2">
        <v>0.2636</v>
      </c>
      <c r="E123" s="2">
        <v>0.85240000000000005</v>
      </c>
      <c r="F123" s="2">
        <v>0.16350000000000001</v>
      </c>
      <c r="G123" s="160">
        <v>171.03</v>
      </c>
    </row>
    <row r="124" spans="1:7">
      <c r="A124" s="1">
        <v>2022</v>
      </c>
      <c r="B124" s="160">
        <v>34.130000000000003</v>
      </c>
      <c r="C124" s="160">
        <v>176.8</v>
      </c>
      <c r="D124" s="2">
        <v>0.19409999999999999</v>
      </c>
      <c r="E124" s="2">
        <v>0.78900000000000003</v>
      </c>
      <c r="F124" s="2">
        <v>0.13270000000000001</v>
      </c>
      <c r="G124" s="160">
        <v>139.5</v>
      </c>
    </row>
    <row r="125" spans="1:7">
      <c r="A125" s="1">
        <v>2023</v>
      </c>
      <c r="B125" s="160">
        <v>27.42</v>
      </c>
      <c r="C125" s="160">
        <v>252.69</v>
      </c>
      <c r="D125" s="2">
        <v>0.1827</v>
      </c>
      <c r="E125" s="2">
        <v>0.68720000000000003</v>
      </c>
      <c r="F125" s="2">
        <v>0.15529999999999999</v>
      </c>
      <c r="G125" s="160">
        <v>173.65</v>
      </c>
    </row>
    <row r="126" spans="1:7">
      <c r="A126" s="1">
        <v>2024</v>
      </c>
      <c r="B126" s="160">
        <v>27.33</v>
      </c>
      <c r="C126" s="160">
        <v>350.64</v>
      </c>
      <c r="D126" s="2">
        <v>0.19489999999999999</v>
      </c>
      <c r="E126" s="2">
        <v>0.45390000000000003</v>
      </c>
      <c r="F126" s="2">
        <v>0.13769999999999999</v>
      </c>
      <c r="G126" s="160">
        <v>159.16999999999999</v>
      </c>
    </row>
    <row r="127" spans="1:7">
      <c r="A127" s="1">
        <v>2025</v>
      </c>
      <c r="B127" s="160">
        <v>19.8</v>
      </c>
      <c r="C127" s="160">
        <v>187.58</v>
      </c>
      <c r="D127" s="2">
        <v>0.27089999999999997</v>
      </c>
      <c r="E127" s="2">
        <v>0.92190000000000005</v>
      </c>
      <c r="F127" s="2">
        <v>0.14430000000000001</v>
      </c>
      <c r="G127" s="160">
        <v>172.93</v>
      </c>
    </row>
    <row r="129" spans="1:7">
      <c r="A129" s="155" t="s">
        <v>11</v>
      </c>
    </row>
    <row r="130" spans="1:7" s="110" customFormat="1">
      <c r="A130" s="164" t="s">
        <v>0</v>
      </c>
      <c r="B130" s="164" t="s">
        <v>1</v>
      </c>
      <c r="C130" s="164" t="s">
        <v>2</v>
      </c>
      <c r="D130" s="164" t="s">
        <v>3</v>
      </c>
      <c r="E130" s="164" t="s">
        <v>4</v>
      </c>
      <c r="F130" s="164" t="s">
        <v>5</v>
      </c>
      <c r="G130" s="164" t="s">
        <v>91</v>
      </c>
    </row>
    <row r="131" spans="1:7">
      <c r="A131" s="1">
        <v>2021</v>
      </c>
      <c r="B131" s="156">
        <v>13.83</v>
      </c>
      <c r="C131" s="156">
        <v>25.49</v>
      </c>
      <c r="D131" s="158">
        <v>0.26519999999999999</v>
      </c>
      <c r="E131" s="158">
        <v>0.66930000000000001</v>
      </c>
      <c r="F131" s="2">
        <v>0.23860000000000001</v>
      </c>
      <c r="G131" s="160">
        <v>25.28</v>
      </c>
    </row>
    <row r="132" spans="1:7">
      <c r="A132" s="1">
        <v>2022</v>
      </c>
      <c r="B132" s="156">
        <v>12.86</v>
      </c>
      <c r="C132" s="156">
        <v>25.51</v>
      </c>
      <c r="D132" s="158">
        <v>0.23430000000000001</v>
      </c>
      <c r="E132" s="158">
        <v>0.62629999999999997</v>
      </c>
      <c r="F132" s="2">
        <v>0.2001</v>
      </c>
      <c r="G132" s="160">
        <v>22.29</v>
      </c>
    </row>
    <row r="133" spans="1:7">
      <c r="A133" s="1">
        <v>2023</v>
      </c>
      <c r="B133" s="156">
        <v>11.7</v>
      </c>
      <c r="C133" s="156">
        <v>38.119999999999997</v>
      </c>
      <c r="D133" s="158">
        <v>0.2104</v>
      </c>
      <c r="E133" s="158">
        <v>0.58589999999999998</v>
      </c>
      <c r="F133" s="2">
        <v>0.2084</v>
      </c>
      <c r="G133" s="160">
        <v>24.49</v>
      </c>
    </row>
    <row r="134" spans="1:7">
      <c r="A134" s="1">
        <v>2024</v>
      </c>
      <c r="B134" s="156">
        <v>12.02</v>
      </c>
      <c r="C134" s="156">
        <v>40.49</v>
      </c>
      <c r="D134" s="158">
        <v>0.18590000000000001</v>
      </c>
      <c r="E134" s="158">
        <v>0.55249999999999999</v>
      </c>
      <c r="F134" s="2">
        <v>0.22919999999999999</v>
      </c>
      <c r="G134" s="160">
        <v>26.89</v>
      </c>
    </row>
    <row r="135" spans="1:7">
      <c r="A135" s="1">
        <v>2025</v>
      </c>
      <c r="B135" s="156">
        <v>11.77</v>
      </c>
      <c r="C135" s="156">
        <v>38.17</v>
      </c>
      <c r="D135" s="158">
        <v>0.1802</v>
      </c>
      <c r="E135" s="158">
        <v>0.48980000000000001</v>
      </c>
      <c r="F135" s="2">
        <v>0.18709999999999999</v>
      </c>
      <c r="G135" s="160">
        <v>21.9</v>
      </c>
    </row>
    <row r="137" spans="1:7">
      <c r="A137" s="155" t="s">
        <v>102</v>
      </c>
    </row>
    <row r="138" spans="1:7" s="110" customFormat="1">
      <c r="A138" s="164" t="s">
        <v>0</v>
      </c>
      <c r="B138" s="164" t="s">
        <v>1</v>
      </c>
      <c r="C138" s="164" t="s">
        <v>2</v>
      </c>
      <c r="D138" s="164" t="s">
        <v>3</v>
      </c>
      <c r="E138" s="164" t="s">
        <v>4</v>
      </c>
      <c r="F138" s="164" t="s">
        <v>5</v>
      </c>
      <c r="G138" s="164" t="s">
        <v>91</v>
      </c>
    </row>
    <row r="139" spans="1:7">
      <c r="A139" s="1">
        <v>2021</v>
      </c>
      <c r="B139" s="160">
        <v>22.41</v>
      </c>
      <c r="C139" s="160">
        <v>23.57</v>
      </c>
      <c r="D139" s="2">
        <v>4.1700000000000001E-2</v>
      </c>
      <c r="E139" s="2">
        <v>8.9099999999999999E-2</v>
      </c>
      <c r="F139" s="2">
        <v>7.0800000000000002E-2</v>
      </c>
      <c r="G139" s="160">
        <v>2.1</v>
      </c>
    </row>
    <row r="140" spans="1:7">
      <c r="A140" s="1">
        <v>2022</v>
      </c>
      <c r="B140" s="160">
        <v>25.77</v>
      </c>
      <c r="C140" s="160">
        <v>24.36</v>
      </c>
      <c r="D140" s="2">
        <v>3.5700000000000003E-2</v>
      </c>
      <c r="E140" s="2">
        <v>9.0999999999999998E-2</v>
      </c>
      <c r="F140" s="2">
        <v>5.1799999999999999E-2</v>
      </c>
      <c r="G140" s="160">
        <v>2.2200000000000002</v>
      </c>
    </row>
    <row r="141" spans="1:7">
      <c r="A141" s="1">
        <v>2023</v>
      </c>
      <c r="B141" s="160">
        <v>35.770000000000003</v>
      </c>
      <c r="C141" s="160">
        <v>24.89</v>
      </c>
      <c r="D141" s="2">
        <v>3.5000000000000003E-2</v>
      </c>
      <c r="E141" s="2">
        <v>8.2400000000000001E-2</v>
      </c>
      <c r="F141" s="2">
        <v>5.4800000000000001E-2</v>
      </c>
      <c r="G141" s="160">
        <v>2.0499999999999998</v>
      </c>
    </row>
    <row r="142" spans="1:7">
      <c r="A142" s="1">
        <v>2024</v>
      </c>
      <c r="B142" s="160">
        <v>17.55</v>
      </c>
      <c r="C142" s="160">
        <v>25.99</v>
      </c>
      <c r="D142" s="2">
        <v>3.8100000000000002E-2</v>
      </c>
      <c r="E142" s="2">
        <v>7.9100000000000004E-2</v>
      </c>
      <c r="F142" s="2">
        <v>6.08E-2</v>
      </c>
      <c r="G142" s="160">
        <v>2.06</v>
      </c>
    </row>
    <row r="143" spans="1:7">
      <c r="A143" s="1">
        <v>2025</v>
      </c>
      <c r="B143" s="160">
        <v>18.03</v>
      </c>
      <c r="C143" s="160">
        <v>27.71</v>
      </c>
      <c r="D143" s="2">
        <v>3.5200000000000002E-2</v>
      </c>
      <c r="E143" s="2">
        <v>7.9100000000000004E-2</v>
      </c>
      <c r="F143" s="2">
        <v>5.67E-2</v>
      </c>
      <c r="G143" s="160">
        <v>2.19</v>
      </c>
    </row>
    <row r="145" spans="1:7">
      <c r="A145" s="155" t="s">
        <v>104</v>
      </c>
    </row>
    <row r="146" spans="1:7" s="110" customFormat="1">
      <c r="A146" s="164" t="s">
        <v>0</v>
      </c>
      <c r="B146" s="164" t="s">
        <v>1</v>
      </c>
      <c r="C146" s="164" t="s">
        <v>2</v>
      </c>
      <c r="D146" s="164" t="s">
        <v>3</v>
      </c>
      <c r="E146" s="164" t="s">
        <v>4</v>
      </c>
      <c r="F146" s="164" t="s">
        <v>5</v>
      </c>
      <c r="G146" s="164" t="s">
        <v>91</v>
      </c>
    </row>
    <row r="147" spans="1:7">
      <c r="A147" s="1">
        <v>2021</v>
      </c>
      <c r="B147" s="160">
        <v>19.329999999999998</v>
      </c>
      <c r="C147" s="160">
        <v>25.97</v>
      </c>
      <c r="D147" s="2">
        <v>7.0999999999999994E-2</v>
      </c>
      <c r="E147" s="2">
        <v>9.8799999999999999E-2</v>
      </c>
      <c r="F147" s="2">
        <v>0.1454</v>
      </c>
      <c r="G147" s="160">
        <v>2.57</v>
      </c>
    </row>
    <row r="148" spans="1:7">
      <c r="A148" s="1">
        <v>2022</v>
      </c>
      <c r="B148" s="160">
        <v>25.38</v>
      </c>
      <c r="C148" s="160">
        <v>27.56</v>
      </c>
      <c r="D148" s="2">
        <v>6.5600000000000006E-2</v>
      </c>
      <c r="E148" s="2">
        <v>9.4100000000000003E-2</v>
      </c>
      <c r="F148" s="2">
        <v>0.14510000000000001</v>
      </c>
      <c r="G148" s="160">
        <v>2.59</v>
      </c>
    </row>
    <row r="149" spans="1:7">
      <c r="A149" s="1">
        <v>2023</v>
      </c>
      <c r="B149" s="160">
        <v>32.979999999999997</v>
      </c>
      <c r="C149" s="160">
        <v>30.54</v>
      </c>
      <c r="D149" s="2">
        <v>9.3700000000000006E-2</v>
      </c>
      <c r="E149" s="2">
        <v>0.1308</v>
      </c>
      <c r="F149" s="2">
        <v>0.19170000000000001</v>
      </c>
      <c r="G149" s="160">
        <v>3.99</v>
      </c>
    </row>
    <row r="150" spans="1:7">
      <c r="A150" s="1">
        <v>2024</v>
      </c>
      <c r="B150" s="160">
        <v>42.87</v>
      </c>
      <c r="C150" s="160">
        <v>31.35</v>
      </c>
      <c r="D150" s="2">
        <v>4.5600000000000002E-2</v>
      </c>
      <c r="E150" s="2">
        <v>7.3700000000000002E-2</v>
      </c>
      <c r="F150" s="2">
        <v>9.9199999999999997E-2</v>
      </c>
      <c r="G150" s="160">
        <v>2.31</v>
      </c>
    </row>
    <row r="151" spans="1:7">
      <c r="A151" s="1">
        <v>2025</v>
      </c>
      <c r="B151" s="160">
        <v>27.33</v>
      </c>
      <c r="C151" s="160">
        <v>32.82</v>
      </c>
      <c r="D151" s="2">
        <v>4.9099999999999998E-2</v>
      </c>
      <c r="E151" s="2">
        <v>7.7799999999999994E-2</v>
      </c>
      <c r="F151" s="2">
        <v>9.1800000000000007E-2</v>
      </c>
      <c r="G151" s="160">
        <v>2.5499999999999998</v>
      </c>
    </row>
    <row r="153" spans="1:7">
      <c r="A153" s="155" t="s">
        <v>103</v>
      </c>
    </row>
    <row r="154" spans="1:7" s="110" customFormat="1">
      <c r="A154" s="164" t="s">
        <v>0</v>
      </c>
      <c r="B154" s="164" t="s">
        <v>1</v>
      </c>
      <c r="C154" s="164" t="s">
        <v>2</v>
      </c>
      <c r="D154" s="164" t="s">
        <v>3</v>
      </c>
      <c r="E154" s="164" t="s">
        <v>4</v>
      </c>
      <c r="F154" s="164" t="s">
        <v>5</v>
      </c>
      <c r="G154" s="164" t="s">
        <v>91</v>
      </c>
    </row>
    <row r="155" spans="1:7">
      <c r="A155" s="1">
        <v>2021</v>
      </c>
      <c r="B155" s="156">
        <v>8.9</v>
      </c>
      <c r="C155" s="156">
        <v>120.82</v>
      </c>
      <c r="D155" s="158">
        <v>1.1000000000000001E-3</v>
      </c>
      <c r="E155" s="158">
        <v>0.1066</v>
      </c>
      <c r="F155" s="158">
        <v>1.7194</v>
      </c>
      <c r="G155" s="156">
        <v>18.239999999999998</v>
      </c>
    </row>
    <row r="156" spans="1:7">
      <c r="A156" s="1">
        <v>2022</v>
      </c>
      <c r="B156" s="156">
        <v>10.5</v>
      </c>
      <c r="C156" s="156">
        <v>135.09</v>
      </c>
      <c r="D156" s="158">
        <v>2.0999999999999999E-3</v>
      </c>
      <c r="E156" s="158">
        <v>9.1300000000000006E-2</v>
      </c>
      <c r="F156" s="158">
        <v>1.4302999999999999</v>
      </c>
      <c r="G156" s="156">
        <v>16.87</v>
      </c>
    </row>
    <row r="157" spans="1:7">
      <c r="A157" s="1">
        <v>2023</v>
      </c>
      <c r="B157" s="156">
        <v>5.83</v>
      </c>
      <c r="C157" s="156">
        <v>157.36000000000001</v>
      </c>
      <c r="D157" s="158">
        <v>1.5E-3</v>
      </c>
      <c r="E157" s="158">
        <v>0.1565</v>
      </c>
      <c r="F157" s="158">
        <v>2.4348999999999998</v>
      </c>
      <c r="G157" s="156">
        <v>30.87</v>
      </c>
    </row>
    <row r="158" spans="1:7">
      <c r="A158" s="1">
        <v>2024</v>
      </c>
      <c r="B158" s="156">
        <v>4.37</v>
      </c>
      <c r="C158" s="156">
        <v>190.66</v>
      </c>
      <c r="D158" s="158">
        <v>4.0000000000000002E-4</v>
      </c>
      <c r="E158" s="158">
        <v>0.18429999999999999</v>
      </c>
      <c r="F158" s="158">
        <v>3.2742</v>
      </c>
      <c r="G158" s="156">
        <v>40</v>
      </c>
    </row>
    <row r="159" spans="1:7">
      <c r="A159" s="1">
        <v>2025</v>
      </c>
      <c r="B159" s="156">
        <v>3.11</v>
      </c>
      <c r="C159" s="156">
        <v>245.7</v>
      </c>
      <c r="D159" s="158">
        <v>1.2999999999999999E-3</v>
      </c>
      <c r="E159" s="158">
        <v>0.2336</v>
      </c>
      <c r="F159" s="158">
        <v>3.7675000000000001</v>
      </c>
      <c r="G159" s="156">
        <v>58.7</v>
      </c>
    </row>
  </sheetData>
  <pageMargins left="0.7" right="0.7" top="0.75" bottom="0.75" header="0.3" footer="0.3"/>
  <pageSetup orientation="portrait" r:id="rId1"/>
  <ignoredErrors>
    <ignoredError sqref="D11:F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B907-5BC5-4D3E-B09B-F35105737BD2}">
  <dimension ref="A1:V63"/>
  <sheetViews>
    <sheetView zoomScale="62" zoomScaleNormal="62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Id="1" sqref="A2:B2 A1:XFD1"/>
    </sheetView>
  </sheetViews>
  <sheetFormatPr defaultColWidth="8.81640625" defaultRowHeight="14.5"/>
  <cols>
    <col min="2" max="2" width="10.81640625" bestFit="1" customWidth="1"/>
    <col min="3" max="4" width="9.453125" bestFit="1" customWidth="1"/>
    <col min="5" max="5" width="9.453125" customWidth="1"/>
    <col min="6" max="6" width="14" bestFit="1" customWidth="1"/>
    <col min="7" max="7" width="14" customWidth="1"/>
    <col min="8" max="8" width="13.453125" bestFit="1" customWidth="1"/>
    <col min="9" max="9" width="12.1796875" bestFit="1" customWidth="1"/>
    <col min="10" max="10" width="13.453125" bestFit="1" customWidth="1"/>
    <col min="11" max="11" width="13.453125" customWidth="1"/>
    <col min="12" max="12" width="12.6328125" bestFit="1" customWidth="1"/>
    <col min="13" max="13" width="9.81640625" bestFit="1" customWidth="1"/>
    <col min="14" max="14" width="18.1796875" bestFit="1" customWidth="1"/>
    <col min="15" max="15" width="19.1796875" bestFit="1" customWidth="1"/>
    <col min="16" max="17" width="15.36328125" bestFit="1" customWidth="1"/>
    <col min="18" max="18" width="10.6328125" bestFit="1" customWidth="1"/>
    <col min="19" max="19" width="19.453125" bestFit="1" customWidth="1"/>
    <col min="20" max="20" width="13.453125" bestFit="1" customWidth="1"/>
    <col min="21" max="21" width="10.6328125" bestFit="1" customWidth="1"/>
    <col min="22" max="22" width="12.453125" bestFit="1" customWidth="1"/>
  </cols>
  <sheetData>
    <row r="1" spans="1:22" s="152" customFormat="1">
      <c r="A1" s="151" t="s">
        <v>37</v>
      </c>
      <c r="B1" s="151"/>
      <c r="C1" s="165" t="s">
        <v>12</v>
      </c>
      <c r="D1" s="165"/>
      <c r="E1" s="165" t="s">
        <v>108</v>
      </c>
      <c r="F1" s="165"/>
      <c r="G1" s="165" t="s">
        <v>32</v>
      </c>
      <c r="H1" s="165"/>
      <c r="I1" s="165" t="s">
        <v>30</v>
      </c>
      <c r="J1" s="165"/>
      <c r="K1" s="165"/>
      <c r="L1" s="151" t="s">
        <v>115</v>
      </c>
      <c r="M1" s="151" t="s">
        <v>35</v>
      </c>
      <c r="N1" s="151" t="s">
        <v>27</v>
      </c>
      <c r="O1" s="151" t="s">
        <v>34</v>
      </c>
      <c r="P1" s="165" t="s">
        <v>33</v>
      </c>
      <c r="Q1" s="165"/>
      <c r="R1" s="165"/>
      <c r="S1" s="165"/>
      <c r="T1" s="151" t="s">
        <v>29</v>
      </c>
      <c r="U1" s="151" t="s">
        <v>123</v>
      </c>
      <c r="V1" s="151" t="s">
        <v>125</v>
      </c>
    </row>
    <row r="2" spans="1:22">
      <c r="A2" s="151" t="s">
        <v>14</v>
      </c>
      <c r="B2" s="151" t="s">
        <v>13</v>
      </c>
      <c r="C2" s="6" t="s">
        <v>127</v>
      </c>
      <c r="D2" s="6" t="s">
        <v>105</v>
      </c>
      <c r="E2" s="6" t="s">
        <v>106</v>
      </c>
      <c r="F2" s="6" t="s">
        <v>107</v>
      </c>
      <c r="G2" s="6" t="s">
        <v>129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116</v>
      </c>
      <c r="N2" s="6" t="s">
        <v>117</v>
      </c>
      <c r="O2" s="6" t="s">
        <v>36</v>
      </c>
      <c r="P2" s="6" t="s">
        <v>118</v>
      </c>
      <c r="Q2" s="6" t="s">
        <v>119</v>
      </c>
      <c r="R2" s="6" t="s">
        <v>120</v>
      </c>
      <c r="S2" s="6" t="s">
        <v>121</v>
      </c>
      <c r="T2" s="6" t="s">
        <v>122</v>
      </c>
      <c r="U2" s="6" t="s">
        <v>124</v>
      </c>
      <c r="V2" s="6" t="s">
        <v>126</v>
      </c>
    </row>
    <row r="3" spans="1:22">
      <c r="A3" s="167">
        <v>2021</v>
      </c>
      <c r="B3" s="16" t="s">
        <v>25</v>
      </c>
      <c r="C3" s="18">
        <v>30.79</v>
      </c>
      <c r="D3" s="18">
        <v>15.6</v>
      </c>
      <c r="E3" s="18">
        <v>36.86</v>
      </c>
      <c r="F3" s="18">
        <v>74.73</v>
      </c>
      <c r="G3" s="18">
        <v>89.2</v>
      </c>
      <c r="H3" s="18">
        <v>71</v>
      </c>
      <c r="I3" s="19">
        <v>31.27</v>
      </c>
      <c r="J3" s="18">
        <v>56.5</v>
      </c>
      <c r="K3" s="18">
        <v>174.2</v>
      </c>
      <c r="L3" s="18">
        <v>129.69999999999999</v>
      </c>
      <c r="M3" s="18">
        <v>132.69</v>
      </c>
      <c r="N3" s="18">
        <v>141.13999999999999</v>
      </c>
      <c r="O3" s="18">
        <v>362.6</v>
      </c>
      <c r="P3" s="18">
        <v>256.5</v>
      </c>
      <c r="Q3" s="18">
        <v>1202.46</v>
      </c>
      <c r="R3" s="18">
        <v>2322.8000000000002</v>
      </c>
      <c r="S3" s="18">
        <v>4475.1000000000004</v>
      </c>
      <c r="T3" s="18">
        <v>58</v>
      </c>
      <c r="U3" s="18">
        <v>61.3</v>
      </c>
      <c r="V3" s="18">
        <v>182.9</v>
      </c>
    </row>
    <row r="4" spans="1:22">
      <c r="A4" s="167"/>
      <c r="B4" s="16" t="s">
        <v>26</v>
      </c>
      <c r="C4" s="18">
        <v>31.11</v>
      </c>
      <c r="D4" s="18">
        <v>15.7</v>
      </c>
      <c r="E4" s="18">
        <v>46.29</v>
      </c>
      <c r="F4" s="18">
        <v>78.45</v>
      </c>
      <c r="G4" s="18">
        <v>83.5</v>
      </c>
      <c r="H4" s="18">
        <v>68.7</v>
      </c>
      <c r="I4" s="19">
        <v>33.090000000000003</v>
      </c>
      <c r="J4" s="18">
        <v>53.7</v>
      </c>
      <c r="K4" s="18">
        <v>196.8</v>
      </c>
      <c r="L4" s="18">
        <v>118.4</v>
      </c>
      <c r="M4" s="18">
        <v>174.13</v>
      </c>
      <c r="N4" s="18">
        <v>152.57</v>
      </c>
      <c r="O4" s="18">
        <v>380.2</v>
      </c>
      <c r="P4" s="18">
        <v>273.10000000000002</v>
      </c>
      <c r="Q4" s="18">
        <v>1217.08</v>
      </c>
      <c r="R4" s="18">
        <v>2333.6999999999998</v>
      </c>
      <c r="S4" s="18">
        <v>4837.2</v>
      </c>
      <c r="T4" s="18">
        <v>76</v>
      </c>
      <c r="U4" s="18">
        <v>74.099999999999994</v>
      </c>
      <c r="V4" s="18">
        <v>183.9</v>
      </c>
    </row>
    <row r="5" spans="1:22">
      <c r="A5" s="167"/>
      <c r="B5" s="16" t="s">
        <v>15</v>
      </c>
      <c r="C5" s="18">
        <v>29.94</v>
      </c>
      <c r="D5" s="18">
        <v>15.5</v>
      </c>
      <c r="E5" s="18">
        <v>39.520000000000003</v>
      </c>
      <c r="F5" s="18">
        <v>72.91</v>
      </c>
      <c r="G5" s="18">
        <v>78.5</v>
      </c>
      <c r="H5" s="18">
        <v>67.8</v>
      </c>
      <c r="I5" s="19">
        <v>32.36</v>
      </c>
      <c r="J5" s="18">
        <v>41.3</v>
      </c>
      <c r="K5" s="18">
        <v>174.8</v>
      </c>
      <c r="L5" s="18">
        <v>105.3</v>
      </c>
      <c r="M5" s="18">
        <v>156.03</v>
      </c>
      <c r="N5" s="18">
        <v>123.81</v>
      </c>
      <c r="O5" s="18">
        <v>358.5</v>
      </c>
      <c r="P5" s="18">
        <v>269.10000000000002</v>
      </c>
      <c r="Q5" s="18">
        <v>1230.76</v>
      </c>
      <c r="R5" s="18">
        <v>2295.1</v>
      </c>
      <c r="S5" s="18">
        <v>5038.7</v>
      </c>
      <c r="T5" s="18">
        <v>73.099999999999994</v>
      </c>
      <c r="U5" s="18">
        <v>58.6</v>
      </c>
      <c r="V5" s="18">
        <v>173.4</v>
      </c>
    </row>
    <row r="6" spans="1:22">
      <c r="A6" s="167"/>
      <c r="B6" s="16" t="s">
        <v>16</v>
      </c>
      <c r="C6" s="18">
        <v>35.43</v>
      </c>
      <c r="D6" s="18">
        <v>15.4</v>
      </c>
      <c r="E6" s="18">
        <v>37.24</v>
      </c>
      <c r="F6" s="18">
        <v>70.180000000000007</v>
      </c>
      <c r="G6" s="18">
        <v>71</v>
      </c>
      <c r="H6" s="18">
        <v>61.3</v>
      </c>
      <c r="I6" s="19">
        <v>33.450000000000003</v>
      </c>
      <c r="J6" s="18">
        <v>38</v>
      </c>
      <c r="K6" s="18">
        <v>159</v>
      </c>
      <c r="L6" s="18">
        <v>111.1</v>
      </c>
      <c r="M6" s="18">
        <v>139.91999999999999</v>
      </c>
      <c r="N6" s="18">
        <v>108.29</v>
      </c>
      <c r="O6" s="18">
        <v>348.3</v>
      </c>
      <c r="P6" s="18">
        <v>268.5</v>
      </c>
      <c r="Q6" s="18">
        <v>1206.07</v>
      </c>
      <c r="R6" s="18">
        <v>2280.5</v>
      </c>
      <c r="S6" s="18">
        <v>4892.3999999999996</v>
      </c>
      <c r="T6" s="18">
        <v>63.4</v>
      </c>
      <c r="U6" s="18">
        <v>55.9</v>
      </c>
      <c r="V6" s="18">
        <v>171</v>
      </c>
    </row>
    <row r="7" spans="1:22">
      <c r="A7" s="167"/>
      <c r="B7" s="16" t="s">
        <v>17</v>
      </c>
      <c r="C7" s="18">
        <v>36.15</v>
      </c>
      <c r="D7" s="18">
        <v>15.3</v>
      </c>
      <c r="E7" s="18">
        <v>36.76</v>
      </c>
      <c r="F7" s="18">
        <v>70.09</v>
      </c>
      <c r="G7" s="18">
        <v>73.3</v>
      </c>
      <c r="H7" s="18">
        <v>68.5</v>
      </c>
      <c r="I7" s="19">
        <v>30.55</v>
      </c>
      <c r="J7" s="18">
        <v>50.4</v>
      </c>
      <c r="K7" s="18">
        <v>160.6</v>
      </c>
      <c r="L7" s="18">
        <v>122.2</v>
      </c>
      <c r="M7" s="18">
        <v>161.13999999999999</v>
      </c>
      <c r="N7" s="18">
        <v>116.1</v>
      </c>
      <c r="O7" s="18">
        <v>349.5</v>
      </c>
      <c r="P7" s="18">
        <v>271.3</v>
      </c>
      <c r="Q7" s="18">
        <v>1226.17</v>
      </c>
      <c r="R7" s="18">
        <v>2301</v>
      </c>
      <c r="S7" s="18">
        <v>5729.9</v>
      </c>
      <c r="T7" s="18">
        <v>70</v>
      </c>
      <c r="U7" s="18">
        <v>52.4</v>
      </c>
      <c r="V7" s="18">
        <v>171.1</v>
      </c>
    </row>
    <row r="8" spans="1:22">
      <c r="A8" s="166">
        <v>2022</v>
      </c>
      <c r="B8" s="15" t="s">
        <v>18</v>
      </c>
      <c r="C8" s="17">
        <v>36.08</v>
      </c>
      <c r="D8" s="17">
        <v>15.2</v>
      </c>
      <c r="E8" s="17">
        <v>37.33</v>
      </c>
      <c r="F8" s="17">
        <v>69.819999999999993</v>
      </c>
      <c r="G8" s="17">
        <v>71.2</v>
      </c>
      <c r="H8" s="17">
        <v>64.8</v>
      </c>
      <c r="I8" s="20">
        <v>35.18</v>
      </c>
      <c r="J8" s="17">
        <v>46.8</v>
      </c>
      <c r="K8" s="17">
        <v>161.69999999999999</v>
      </c>
      <c r="L8" s="17">
        <v>116.7</v>
      </c>
      <c r="M8" s="17">
        <v>196.42</v>
      </c>
      <c r="N8" s="17">
        <v>115.33</v>
      </c>
      <c r="O8" s="17">
        <v>355.9</v>
      </c>
      <c r="P8" s="17">
        <v>283</v>
      </c>
      <c r="Q8" s="17">
        <v>1245.1400000000001</v>
      </c>
      <c r="R8" s="17">
        <v>2356.1</v>
      </c>
      <c r="S8" s="17">
        <v>5840.1</v>
      </c>
      <c r="T8" s="17">
        <v>56.9</v>
      </c>
      <c r="U8" s="17">
        <v>51.8</v>
      </c>
      <c r="V8" s="17">
        <v>167.8</v>
      </c>
    </row>
    <row r="9" spans="1:22">
      <c r="A9" s="166"/>
      <c r="B9" s="15" t="s">
        <v>19</v>
      </c>
      <c r="C9" s="17">
        <v>35.299999999999997</v>
      </c>
      <c r="D9" s="17">
        <v>15</v>
      </c>
      <c r="E9" s="17">
        <v>34.67</v>
      </c>
      <c r="F9" s="17">
        <v>66.64</v>
      </c>
      <c r="G9" s="17">
        <v>67</v>
      </c>
      <c r="H9" s="17">
        <v>56.9</v>
      </c>
      <c r="I9" s="20">
        <v>33.270000000000003</v>
      </c>
      <c r="J9" s="17">
        <v>47.9</v>
      </c>
      <c r="K9" s="17">
        <v>147.19999999999999</v>
      </c>
      <c r="L9" s="17">
        <v>106.6</v>
      </c>
      <c r="M9" s="17">
        <v>185.73</v>
      </c>
      <c r="N9" s="17">
        <v>111.33</v>
      </c>
      <c r="O9" s="17">
        <v>340</v>
      </c>
      <c r="P9" s="17">
        <v>285</v>
      </c>
      <c r="Q9" s="17">
        <v>1271.4000000000001</v>
      </c>
      <c r="R9" s="17">
        <v>2399.4</v>
      </c>
      <c r="S9" s="17">
        <v>5853.3</v>
      </c>
      <c r="T9" s="17">
        <v>55</v>
      </c>
      <c r="U9" s="17">
        <v>60.8</v>
      </c>
      <c r="V9" s="17">
        <v>168.2</v>
      </c>
    </row>
    <row r="10" spans="1:22">
      <c r="A10" s="166"/>
      <c r="B10" s="15" t="s">
        <v>20</v>
      </c>
      <c r="C10" s="17">
        <v>32.49</v>
      </c>
      <c r="D10" s="17">
        <v>15.4</v>
      </c>
      <c r="E10" s="17">
        <v>39.33</v>
      </c>
      <c r="F10" s="17">
        <v>65.599999999999994</v>
      </c>
      <c r="G10" s="17">
        <v>61.4</v>
      </c>
      <c r="H10" s="17">
        <v>55.2</v>
      </c>
      <c r="I10" s="20">
        <v>37.909999999999997</v>
      </c>
      <c r="J10" s="17">
        <v>45.6</v>
      </c>
      <c r="K10" s="17">
        <v>137.19999999999999</v>
      </c>
      <c r="L10" s="17">
        <v>102.8</v>
      </c>
      <c r="M10" s="17">
        <v>183.26</v>
      </c>
      <c r="N10" s="17">
        <v>108.57</v>
      </c>
      <c r="O10" s="17">
        <v>328.9</v>
      </c>
      <c r="P10" s="17">
        <v>298.10000000000002</v>
      </c>
      <c r="Q10" s="17">
        <v>1264.77</v>
      </c>
      <c r="R10" s="17">
        <v>2355.1999999999998</v>
      </c>
      <c r="S10" s="17">
        <v>5388.4</v>
      </c>
      <c r="T10" s="17">
        <v>56.9</v>
      </c>
      <c r="U10" s="17">
        <v>65.099999999999994</v>
      </c>
      <c r="V10" s="17">
        <v>163.19999999999999</v>
      </c>
    </row>
    <row r="11" spans="1:22">
      <c r="A11" s="166"/>
      <c r="B11" s="15" t="s">
        <v>21</v>
      </c>
      <c r="C11" s="17">
        <v>32.32</v>
      </c>
      <c r="D11" s="17">
        <v>15.6</v>
      </c>
      <c r="E11" s="17">
        <v>54.19</v>
      </c>
      <c r="F11" s="17">
        <v>66.400000000000006</v>
      </c>
      <c r="G11" s="17">
        <v>57.1</v>
      </c>
      <c r="H11" s="17">
        <v>57.5</v>
      </c>
      <c r="I11" s="20">
        <v>38.36</v>
      </c>
      <c r="J11" s="17">
        <v>41.8</v>
      </c>
      <c r="K11" s="17">
        <v>130.69999999999999</v>
      </c>
      <c r="L11" s="17">
        <v>105.1</v>
      </c>
      <c r="M11" s="17">
        <v>176.83</v>
      </c>
      <c r="N11" s="17">
        <v>108.29</v>
      </c>
      <c r="O11" s="17">
        <v>319.89999999999998</v>
      </c>
      <c r="P11" s="17">
        <v>295.7</v>
      </c>
      <c r="Q11" s="17">
        <v>1272.9000000000001</v>
      </c>
      <c r="R11" s="17">
        <v>2353.1</v>
      </c>
      <c r="S11" s="17">
        <v>4871.3</v>
      </c>
      <c r="T11" s="17">
        <v>54.6</v>
      </c>
      <c r="U11" s="17">
        <v>68.3</v>
      </c>
      <c r="V11" s="17">
        <v>167.6</v>
      </c>
    </row>
    <row r="12" spans="1:22">
      <c r="A12" s="166"/>
      <c r="B12" s="15" t="s">
        <v>22</v>
      </c>
      <c r="C12" s="17">
        <v>28.88</v>
      </c>
      <c r="D12" s="17">
        <v>15.6</v>
      </c>
      <c r="E12" s="17">
        <v>50.1</v>
      </c>
      <c r="F12" s="17">
        <v>62.2</v>
      </c>
      <c r="G12" s="17">
        <v>48.3</v>
      </c>
      <c r="H12" s="17">
        <v>51.9</v>
      </c>
      <c r="I12" s="20">
        <v>38.36</v>
      </c>
      <c r="J12" s="17">
        <v>42.2</v>
      </c>
      <c r="K12" s="17">
        <v>124</v>
      </c>
      <c r="L12" s="17">
        <v>100.1</v>
      </c>
      <c r="M12" s="17">
        <v>165.23</v>
      </c>
      <c r="N12" s="17">
        <v>98.76</v>
      </c>
      <c r="O12" s="17">
        <v>307.10000000000002</v>
      </c>
      <c r="P12" s="17">
        <v>288.3</v>
      </c>
      <c r="Q12" s="17">
        <v>1247.76</v>
      </c>
      <c r="R12" s="17">
        <v>2344.8000000000002</v>
      </c>
      <c r="S12" s="17">
        <v>4695.8999999999996</v>
      </c>
      <c r="T12" s="17">
        <v>55.1</v>
      </c>
      <c r="U12" s="17">
        <v>65.7</v>
      </c>
      <c r="V12" s="17">
        <v>167.6</v>
      </c>
    </row>
    <row r="13" spans="1:22">
      <c r="A13" s="166"/>
      <c r="B13" s="15" t="s">
        <v>23</v>
      </c>
      <c r="C13" s="17">
        <v>29.16</v>
      </c>
      <c r="D13" s="17">
        <v>14.4</v>
      </c>
      <c r="E13" s="17">
        <v>50.19</v>
      </c>
      <c r="F13" s="17">
        <v>62.1</v>
      </c>
      <c r="G13" s="17">
        <v>51.8</v>
      </c>
      <c r="H13" s="17">
        <v>51.3</v>
      </c>
      <c r="I13" s="20">
        <v>38.090000000000003</v>
      </c>
      <c r="J13" s="17">
        <v>45.2</v>
      </c>
      <c r="K13" s="17">
        <v>124.1</v>
      </c>
      <c r="L13" s="17">
        <v>102.1</v>
      </c>
      <c r="M13" s="17">
        <v>163.19</v>
      </c>
      <c r="N13" s="17">
        <v>98.48</v>
      </c>
      <c r="O13" s="17">
        <v>294.10000000000002</v>
      </c>
      <c r="P13" s="17">
        <v>296.7</v>
      </c>
      <c r="Q13" s="17">
        <v>1257.57</v>
      </c>
      <c r="R13" s="17">
        <v>2421</v>
      </c>
      <c r="S13" s="17">
        <v>4868.5</v>
      </c>
      <c r="T13" s="17">
        <v>60</v>
      </c>
      <c r="U13" s="17">
        <v>65.8</v>
      </c>
      <c r="V13" s="17">
        <v>177.2</v>
      </c>
    </row>
    <row r="14" spans="1:22">
      <c r="A14" s="166"/>
      <c r="B14" s="15" t="s">
        <v>24</v>
      </c>
      <c r="C14" s="17">
        <v>27.12</v>
      </c>
      <c r="D14" s="17">
        <v>13.8</v>
      </c>
      <c r="E14" s="17">
        <v>54.95</v>
      </c>
      <c r="F14" s="17">
        <v>59</v>
      </c>
      <c r="G14" s="17">
        <v>50.4</v>
      </c>
      <c r="H14" s="17">
        <v>47.8</v>
      </c>
      <c r="I14" s="20">
        <v>34.64</v>
      </c>
      <c r="J14" s="17">
        <v>44.3</v>
      </c>
      <c r="K14" s="17">
        <v>120.3</v>
      </c>
      <c r="L14" s="17">
        <v>103.8</v>
      </c>
      <c r="M14" s="17">
        <v>158.19999999999999</v>
      </c>
      <c r="N14" s="17">
        <v>90.1</v>
      </c>
      <c r="O14" s="17">
        <v>294.3</v>
      </c>
      <c r="P14" s="17">
        <v>287.5</v>
      </c>
      <c r="Q14" s="17">
        <v>1218.4100000000001</v>
      </c>
      <c r="R14" s="17">
        <v>2449.6999999999998</v>
      </c>
      <c r="S14" s="17">
        <v>4796.1000000000004</v>
      </c>
      <c r="T14" s="17">
        <v>80.599999999999994</v>
      </c>
      <c r="U14" s="17">
        <v>60</v>
      </c>
      <c r="V14" s="17">
        <v>168.9</v>
      </c>
    </row>
    <row r="15" spans="1:22">
      <c r="A15" s="166"/>
      <c r="B15" s="15" t="s">
        <v>25</v>
      </c>
      <c r="C15" s="17">
        <v>27.12</v>
      </c>
      <c r="D15" s="17">
        <v>14.1</v>
      </c>
      <c r="E15" s="17">
        <v>65.14</v>
      </c>
      <c r="F15" s="17">
        <v>62.6</v>
      </c>
      <c r="G15" s="17">
        <v>48.6</v>
      </c>
      <c r="H15" s="17">
        <v>49.7</v>
      </c>
      <c r="I15" s="20">
        <v>37.82</v>
      </c>
      <c r="J15" s="17">
        <v>52.8</v>
      </c>
      <c r="K15" s="17">
        <v>137</v>
      </c>
      <c r="L15" s="17">
        <v>108.6</v>
      </c>
      <c r="M15" s="17">
        <v>174.06</v>
      </c>
      <c r="N15" s="17">
        <v>102.29</v>
      </c>
      <c r="O15" s="17">
        <v>287.8</v>
      </c>
      <c r="P15" s="17">
        <v>301</v>
      </c>
      <c r="Q15" s="17">
        <v>1224.3900000000001</v>
      </c>
      <c r="R15" s="17">
        <v>2472.6</v>
      </c>
      <c r="S15" s="17">
        <v>4892.2</v>
      </c>
      <c r="T15" s="17">
        <v>83</v>
      </c>
      <c r="U15" s="17">
        <v>63.1</v>
      </c>
      <c r="V15" s="17">
        <v>170.2</v>
      </c>
    </row>
    <row r="16" spans="1:22">
      <c r="A16" s="166"/>
      <c r="B16" s="15" t="s">
        <v>26</v>
      </c>
      <c r="C16" s="17">
        <v>27.05</v>
      </c>
      <c r="D16" s="17">
        <v>13.8</v>
      </c>
      <c r="E16" s="17">
        <v>63.33</v>
      </c>
      <c r="F16" s="17">
        <v>57.8</v>
      </c>
      <c r="G16" s="17">
        <v>46.5</v>
      </c>
      <c r="H16" s="17">
        <v>46.1</v>
      </c>
      <c r="I16" s="20">
        <v>38.549999999999997</v>
      </c>
      <c r="J16" s="17">
        <v>59.6</v>
      </c>
      <c r="K16" s="17">
        <v>129.6</v>
      </c>
      <c r="L16" s="17">
        <v>141.5</v>
      </c>
      <c r="M16" s="17">
        <v>182.78</v>
      </c>
      <c r="N16" s="17">
        <v>94</v>
      </c>
      <c r="O16" s="17">
        <v>286.60000000000002</v>
      </c>
      <c r="P16" s="17">
        <v>306.39999999999998</v>
      </c>
      <c r="Q16" s="17">
        <v>1217.94</v>
      </c>
      <c r="R16" s="17">
        <v>2430.6999999999998</v>
      </c>
      <c r="S16" s="17">
        <v>4830.8999999999996</v>
      </c>
      <c r="T16" s="17">
        <v>77</v>
      </c>
      <c r="U16" s="17">
        <v>84.8</v>
      </c>
      <c r="V16" s="17">
        <v>167.4</v>
      </c>
    </row>
    <row r="17" spans="1:22">
      <c r="A17" s="166"/>
      <c r="B17" s="15" t="s">
        <v>15</v>
      </c>
      <c r="C17" s="17">
        <v>27.05</v>
      </c>
      <c r="D17" s="17">
        <v>13.8</v>
      </c>
      <c r="E17" s="17">
        <v>54.86</v>
      </c>
      <c r="F17" s="17">
        <v>57.8</v>
      </c>
      <c r="G17" s="17">
        <v>46.5</v>
      </c>
      <c r="H17" s="17">
        <v>44.4</v>
      </c>
      <c r="I17" s="20">
        <v>36.18</v>
      </c>
      <c r="J17" s="17">
        <v>62.5</v>
      </c>
      <c r="K17" s="17">
        <v>113.7</v>
      </c>
      <c r="L17" s="17">
        <v>107.7</v>
      </c>
      <c r="M17" s="17">
        <v>170.25</v>
      </c>
      <c r="N17" s="17">
        <v>89.05</v>
      </c>
      <c r="O17" s="17">
        <v>286.60000000000002</v>
      </c>
      <c r="P17" s="17">
        <v>286.60000000000002</v>
      </c>
      <c r="Q17" s="17">
        <v>1217.94</v>
      </c>
      <c r="R17" s="17">
        <v>2421.5</v>
      </c>
      <c r="S17" s="17">
        <v>4760.7</v>
      </c>
      <c r="T17" s="17">
        <v>93.4</v>
      </c>
      <c r="U17" s="17">
        <v>131</v>
      </c>
      <c r="V17" s="17">
        <v>167.5</v>
      </c>
    </row>
    <row r="18" spans="1:22">
      <c r="A18" s="166"/>
      <c r="B18" s="15" t="s">
        <v>16</v>
      </c>
      <c r="C18" s="17">
        <v>27.05</v>
      </c>
      <c r="D18" s="17">
        <v>13.8</v>
      </c>
      <c r="E18" s="17">
        <v>54.86</v>
      </c>
      <c r="F18" s="17">
        <v>57.8</v>
      </c>
      <c r="G18" s="17">
        <v>46.5</v>
      </c>
      <c r="H18" s="17">
        <v>43.6</v>
      </c>
      <c r="I18" s="20">
        <v>34.450000000000003</v>
      </c>
      <c r="J18" s="17">
        <v>58.2</v>
      </c>
      <c r="K18" s="17">
        <v>120.2</v>
      </c>
      <c r="L18" s="17">
        <v>103.8</v>
      </c>
      <c r="M18" s="17">
        <v>170.25</v>
      </c>
      <c r="N18" s="17">
        <v>89.05</v>
      </c>
      <c r="O18" s="17">
        <v>286.60000000000002</v>
      </c>
      <c r="P18" s="17">
        <v>286.60000000000002</v>
      </c>
      <c r="Q18" s="17">
        <v>1217.9000000000001</v>
      </c>
      <c r="R18" s="17">
        <v>2421.5</v>
      </c>
      <c r="S18" s="17">
        <v>4760.7</v>
      </c>
      <c r="T18" s="17">
        <v>77</v>
      </c>
      <c r="U18" s="17">
        <v>101.4</v>
      </c>
      <c r="V18" s="17">
        <v>169</v>
      </c>
    </row>
    <row r="19" spans="1:22">
      <c r="A19" s="166"/>
      <c r="B19" s="15" t="s">
        <v>17</v>
      </c>
      <c r="C19" s="17">
        <v>27.05</v>
      </c>
      <c r="D19" s="17">
        <v>13.8</v>
      </c>
      <c r="E19" s="17">
        <v>54.86</v>
      </c>
      <c r="F19" s="17">
        <v>57.8</v>
      </c>
      <c r="G19" s="17">
        <v>44.5</v>
      </c>
      <c r="H19" s="17">
        <v>41.6</v>
      </c>
      <c r="I19" s="20">
        <v>34.450000000000003</v>
      </c>
      <c r="J19" s="17">
        <v>59.7</v>
      </c>
      <c r="K19" s="17">
        <v>124</v>
      </c>
      <c r="L19" s="17">
        <v>103.6</v>
      </c>
      <c r="M19" s="17">
        <v>173.29</v>
      </c>
      <c r="N19" s="17">
        <v>89</v>
      </c>
      <c r="O19" s="17">
        <v>286.60000000000002</v>
      </c>
      <c r="P19" s="17">
        <v>286.60000000000002</v>
      </c>
      <c r="Q19" s="17">
        <v>1217.9000000000001</v>
      </c>
      <c r="R19" s="17">
        <v>2421.5</v>
      </c>
      <c r="S19" s="17">
        <v>4760.7</v>
      </c>
      <c r="T19" s="17">
        <v>77</v>
      </c>
      <c r="U19" s="17">
        <v>114.1</v>
      </c>
      <c r="V19" s="17">
        <v>167.3</v>
      </c>
    </row>
    <row r="20" spans="1:22">
      <c r="A20" s="167">
        <v>2023</v>
      </c>
      <c r="B20" s="16" t="s">
        <v>18</v>
      </c>
      <c r="C20" s="18">
        <v>27.05</v>
      </c>
      <c r="D20" s="18">
        <v>13.8</v>
      </c>
      <c r="E20" s="18">
        <v>54.86</v>
      </c>
      <c r="F20" s="18">
        <v>57.8</v>
      </c>
      <c r="G20" s="18">
        <v>43.5</v>
      </c>
      <c r="H20" s="18">
        <v>47.9</v>
      </c>
      <c r="I20" s="19">
        <v>34.450000000000003</v>
      </c>
      <c r="J20" s="18">
        <v>57.7</v>
      </c>
      <c r="K20" s="18">
        <v>138</v>
      </c>
      <c r="L20" s="18">
        <v>103.6</v>
      </c>
      <c r="M20" s="18">
        <v>170.25</v>
      </c>
      <c r="N20" s="18">
        <v>89</v>
      </c>
      <c r="O20" s="18">
        <v>286.60000000000002</v>
      </c>
      <c r="P20" s="18">
        <v>286.60000000000002</v>
      </c>
      <c r="Q20" s="18">
        <v>1217.9000000000001</v>
      </c>
      <c r="R20" s="18">
        <v>2421.5</v>
      </c>
      <c r="S20" s="18">
        <v>4760.7</v>
      </c>
      <c r="T20" s="18">
        <v>77</v>
      </c>
      <c r="U20" s="18">
        <v>115</v>
      </c>
      <c r="V20" s="18">
        <v>170</v>
      </c>
    </row>
    <row r="21" spans="1:22">
      <c r="A21" s="167"/>
      <c r="B21" s="16" t="s">
        <v>19</v>
      </c>
      <c r="C21" s="18">
        <v>27.05</v>
      </c>
      <c r="D21" s="18">
        <v>13.8</v>
      </c>
      <c r="E21" s="18">
        <v>54.86</v>
      </c>
      <c r="F21" s="18">
        <v>57.8</v>
      </c>
      <c r="G21" s="18">
        <v>38.4</v>
      </c>
      <c r="H21" s="18">
        <v>43.9</v>
      </c>
      <c r="I21" s="19">
        <v>34.450000000000003</v>
      </c>
      <c r="J21" s="18">
        <v>61.5</v>
      </c>
      <c r="K21" s="18">
        <v>148.69999999999999</v>
      </c>
      <c r="L21" s="18">
        <v>103.6</v>
      </c>
      <c r="M21" s="18">
        <v>195.31</v>
      </c>
      <c r="N21" s="18">
        <v>89</v>
      </c>
      <c r="O21" s="18">
        <v>286.60000000000002</v>
      </c>
      <c r="P21" s="18">
        <v>286.60000000000002</v>
      </c>
      <c r="Q21" s="18">
        <v>1217.9000000000001</v>
      </c>
      <c r="R21" s="18">
        <v>2421.5</v>
      </c>
      <c r="S21" s="18">
        <v>4760.7</v>
      </c>
      <c r="T21" s="18">
        <v>77</v>
      </c>
      <c r="U21" s="18">
        <v>130.69999999999999</v>
      </c>
      <c r="V21" s="18">
        <v>170</v>
      </c>
    </row>
    <row r="22" spans="1:22">
      <c r="A22" s="167"/>
      <c r="B22" s="16" t="s">
        <v>20</v>
      </c>
      <c r="C22" s="18">
        <v>27.05</v>
      </c>
      <c r="D22" s="18">
        <v>13.8</v>
      </c>
      <c r="E22" s="18">
        <v>54.86</v>
      </c>
      <c r="F22" s="18">
        <v>57.8</v>
      </c>
      <c r="G22" s="18">
        <v>38.4</v>
      </c>
      <c r="H22" s="18">
        <v>43.6</v>
      </c>
      <c r="I22" s="19">
        <v>34.450000000000003</v>
      </c>
      <c r="J22" s="18">
        <v>72.2</v>
      </c>
      <c r="K22" s="18">
        <v>155.4</v>
      </c>
      <c r="L22" s="18">
        <v>103.6</v>
      </c>
      <c r="M22" s="18">
        <v>198.21</v>
      </c>
      <c r="N22" s="18">
        <v>89</v>
      </c>
      <c r="O22" s="18">
        <v>286.60000000000002</v>
      </c>
      <c r="P22" s="18">
        <v>286.60000000000002</v>
      </c>
      <c r="Q22" s="18">
        <v>1217.9000000000001</v>
      </c>
      <c r="R22" s="18">
        <v>2421.5</v>
      </c>
      <c r="S22" s="18">
        <v>4760.7</v>
      </c>
      <c r="T22" s="18">
        <v>77</v>
      </c>
      <c r="U22" s="18">
        <v>163.6</v>
      </c>
      <c r="V22" s="18">
        <v>178.5</v>
      </c>
    </row>
    <row r="23" spans="1:22">
      <c r="A23" s="167"/>
      <c r="B23" s="16" t="s">
        <v>21</v>
      </c>
      <c r="C23" s="18">
        <v>27.05</v>
      </c>
      <c r="D23" s="18">
        <v>13.8</v>
      </c>
      <c r="E23" s="18">
        <v>54.86</v>
      </c>
      <c r="F23" s="18">
        <v>56.7</v>
      </c>
      <c r="G23" s="18">
        <v>38.4</v>
      </c>
      <c r="H23" s="18">
        <v>44.8</v>
      </c>
      <c r="I23" s="19">
        <v>34.450000000000003</v>
      </c>
      <c r="J23" s="18">
        <v>71.400000000000006</v>
      </c>
      <c r="K23" s="18">
        <v>165.9</v>
      </c>
      <c r="L23" s="18">
        <v>103.6</v>
      </c>
      <c r="M23" s="18">
        <v>223.34</v>
      </c>
      <c r="N23" s="18">
        <v>89</v>
      </c>
      <c r="O23" s="18">
        <v>286.60000000000002</v>
      </c>
      <c r="P23" s="18">
        <v>286.60000000000002</v>
      </c>
      <c r="Q23" s="18">
        <v>1217.9000000000001</v>
      </c>
      <c r="R23" s="18">
        <v>2421.5</v>
      </c>
      <c r="S23" s="18">
        <v>4777.8999999999996</v>
      </c>
      <c r="T23" s="18">
        <v>77</v>
      </c>
      <c r="U23" s="18">
        <v>131.5</v>
      </c>
      <c r="V23" s="18">
        <v>182.9</v>
      </c>
    </row>
    <row r="24" spans="1:22">
      <c r="A24" s="167"/>
      <c r="B24" s="16" t="s">
        <v>22</v>
      </c>
      <c r="C24" s="18">
        <v>25.16</v>
      </c>
      <c r="D24" s="18">
        <v>13.8</v>
      </c>
      <c r="E24" s="18">
        <v>54.86</v>
      </c>
      <c r="F24" s="18">
        <v>56.7</v>
      </c>
      <c r="G24" s="18">
        <v>57.9</v>
      </c>
      <c r="H24" s="18">
        <v>54.9</v>
      </c>
      <c r="I24" s="19">
        <v>34.450000000000003</v>
      </c>
      <c r="J24" s="18">
        <v>92.8</v>
      </c>
      <c r="K24" s="18">
        <v>155.30000000000001</v>
      </c>
      <c r="L24" s="18">
        <v>103.6</v>
      </c>
      <c r="M24" s="18">
        <v>209.59</v>
      </c>
      <c r="N24" s="18">
        <v>89</v>
      </c>
      <c r="O24" s="18">
        <v>286.60000000000002</v>
      </c>
      <c r="P24" s="18">
        <v>286.60000000000002</v>
      </c>
      <c r="Q24" s="18">
        <v>1217.9000000000001</v>
      </c>
      <c r="R24" s="18">
        <v>2421.5</v>
      </c>
      <c r="S24" s="18">
        <v>4772.2</v>
      </c>
      <c r="T24" s="18">
        <v>77</v>
      </c>
      <c r="U24" s="18">
        <v>133.69999999999999</v>
      </c>
      <c r="V24" s="18">
        <v>180.9</v>
      </c>
    </row>
    <row r="25" spans="1:22">
      <c r="A25" s="167"/>
      <c r="B25" s="16" t="s">
        <v>23</v>
      </c>
      <c r="C25" s="18">
        <v>25.16</v>
      </c>
      <c r="D25" s="18">
        <v>13.1</v>
      </c>
      <c r="E25" s="18">
        <v>54.86</v>
      </c>
      <c r="F25" s="18">
        <v>56.7</v>
      </c>
      <c r="G25" s="18">
        <v>48.3</v>
      </c>
      <c r="H25" s="18">
        <v>48.8</v>
      </c>
      <c r="I25" s="19">
        <v>34.450000000000003</v>
      </c>
      <c r="J25" s="18">
        <v>117.7</v>
      </c>
      <c r="K25" s="18">
        <v>153.6</v>
      </c>
      <c r="L25" s="18">
        <v>103.6</v>
      </c>
      <c r="M25" s="18">
        <v>207.87</v>
      </c>
      <c r="N25" s="18">
        <v>89</v>
      </c>
      <c r="O25" s="18">
        <v>286.60000000000002</v>
      </c>
      <c r="P25" s="18">
        <v>286.60000000000002</v>
      </c>
      <c r="Q25" s="18">
        <v>1217.9000000000001</v>
      </c>
      <c r="R25" s="18">
        <v>2421.5</v>
      </c>
      <c r="S25" s="18">
        <v>4873.7</v>
      </c>
      <c r="T25" s="18">
        <v>77</v>
      </c>
      <c r="U25" s="18">
        <v>131.69999999999999</v>
      </c>
      <c r="V25" s="18">
        <v>179.9</v>
      </c>
    </row>
    <row r="26" spans="1:22">
      <c r="A26" s="167"/>
      <c r="B26" s="16" t="s">
        <v>24</v>
      </c>
      <c r="C26" s="18">
        <v>25.16</v>
      </c>
      <c r="D26" s="18">
        <v>13.1</v>
      </c>
      <c r="E26" s="18">
        <v>54.86</v>
      </c>
      <c r="F26" s="18">
        <v>56.7</v>
      </c>
      <c r="G26" s="18">
        <v>44.3</v>
      </c>
      <c r="H26" s="18">
        <v>61.9</v>
      </c>
      <c r="I26" s="19">
        <v>34.450000000000003</v>
      </c>
      <c r="J26" s="18">
        <v>123.6</v>
      </c>
      <c r="K26" s="18">
        <v>145.19999999999999</v>
      </c>
      <c r="L26" s="18">
        <v>103.6</v>
      </c>
      <c r="M26" s="18">
        <v>191.34</v>
      </c>
      <c r="N26" s="18">
        <v>89</v>
      </c>
      <c r="O26" s="18">
        <v>286.60000000000002</v>
      </c>
      <c r="P26" s="18">
        <v>286.60000000000002</v>
      </c>
      <c r="Q26" s="18">
        <v>1217.9000000000001</v>
      </c>
      <c r="R26" s="18">
        <v>2421.5</v>
      </c>
      <c r="S26" s="18">
        <v>4790</v>
      </c>
      <c r="T26" s="18">
        <v>77</v>
      </c>
      <c r="U26" s="18">
        <v>134.30000000000001</v>
      </c>
      <c r="V26" s="18">
        <v>177.5</v>
      </c>
    </row>
    <row r="27" spans="1:22">
      <c r="A27" s="167"/>
      <c r="B27" s="16" t="s">
        <v>25</v>
      </c>
      <c r="C27" s="18">
        <v>25.16</v>
      </c>
      <c r="D27" s="18">
        <v>13.1</v>
      </c>
      <c r="E27" s="18">
        <v>54.86</v>
      </c>
      <c r="F27" s="18">
        <v>56.7</v>
      </c>
      <c r="G27" s="18">
        <v>41.6</v>
      </c>
      <c r="H27" s="18">
        <v>56.8</v>
      </c>
      <c r="I27" s="19">
        <v>34.450000000000003</v>
      </c>
      <c r="J27" s="18">
        <v>122.9</v>
      </c>
      <c r="K27" s="18">
        <v>148.19999999999999</v>
      </c>
      <c r="L27" s="18">
        <v>103.6</v>
      </c>
      <c r="M27" s="18">
        <v>188.1</v>
      </c>
      <c r="N27" s="18">
        <v>89</v>
      </c>
      <c r="O27" s="18">
        <v>286.60000000000002</v>
      </c>
      <c r="P27" s="18">
        <v>286.60000000000002</v>
      </c>
      <c r="Q27" s="18">
        <v>1217.9000000000001</v>
      </c>
      <c r="R27" s="18">
        <v>2560.1999999999998</v>
      </c>
      <c r="S27" s="18">
        <v>4824.1000000000004</v>
      </c>
      <c r="T27" s="18">
        <v>77</v>
      </c>
      <c r="U27" s="18">
        <v>131.19999999999999</v>
      </c>
      <c r="V27" s="18">
        <v>176.5</v>
      </c>
    </row>
    <row r="28" spans="1:22">
      <c r="A28" s="167"/>
      <c r="B28" s="16" t="s">
        <v>26</v>
      </c>
      <c r="C28" s="18">
        <v>25.16</v>
      </c>
      <c r="D28" s="18">
        <v>13.1</v>
      </c>
      <c r="E28" s="18">
        <v>54.86</v>
      </c>
      <c r="F28" s="18">
        <v>56.7</v>
      </c>
      <c r="G28" s="18">
        <v>71.099999999999994</v>
      </c>
      <c r="H28" s="18">
        <v>61.4</v>
      </c>
      <c r="I28" s="19">
        <v>34.450000000000003</v>
      </c>
      <c r="J28" s="18">
        <v>118</v>
      </c>
      <c r="K28" s="18">
        <v>153.1</v>
      </c>
      <c r="L28" s="18">
        <v>103.6</v>
      </c>
      <c r="M28" s="18">
        <v>203.57</v>
      </c>
      <c r="N28" s="18">
        <v>89</v>
      </c>
      <c r="O28" s="18">
        <v>286.60000000000002</v>
      </c>
      <c r="P28" s="18">
        <v>286.60000000000002</v>
      </c>
      <c r="Q28" s="18">
        <v>1217.9000000000001</v>
      </c>
      <c r="R28" s="18">
        <v>2471.9</v>
      </c>
      <c r="S28" s="18">
        <v>4763.3999999999996</v>
      </c>
      <c r="T28" s="18">
        <v>77</v>
      </c>
      <c r="U28" s="18">
        <v>123.9</v>
      </c>
      <c r="V28" s="18">
        <v>177.1</v>
      </c>
    </row>
    <row r="29" spans="1:22">
      <c r="A29" s="167"/>
      <c r="B29" s="16" t="s">
        <v>15</v>
      </c>
      <c r="C29" s="18">
        <v>25.16</v>
      </c>
      <c r="D29" s="18">
        <v>13.1</v>
      </c>
      <c r="E29" s="18">
        <v>54.86</v>
      </c>
      <c r="F29" s="18">
        <v>56.7</v>
      </c>
      <c r="G29" s="18">
        <v>58.6</v>
      </c>
      <c r="H29" s="18">
        <v>53</v>
      </c>
      <c r="I29" s="19">
        <v>34.450000000000003</v>
      </c>
      <c r="J29" s="18">
        <v>127.1</v>
      </c>
      <c r="K29" s="18">
        <v>152.9</v>
      </c>
      <c r="L29" s="18">
        <v>103.6</v>
      </c>
      <c r="M29" s="18">
        <v>191.93</v>
      </c>
      <c r="N29" s="18">
        <v>89</v>
      </c>
      <c r="O29" s="18">
        <v>286.60000000000002</v>
      </c>
      <c r="P29" s="18">
        <v>286.60000000000002</v>
      </c>
      <c r="Q29" s="18">
        <v>1217.9000000000001</v>
      </c>
      <c r="R29" s="18">
        <v>2469.1</v>
      </c>
      <c r="S29" s="18">
        <v>4760.7</v>
      </c>
      <c r="T29" s="18">
        <v>77</v>
      </c>
      <c r="U29" s="18">
        <v>119.1</v>
      </c>
      <c r="V29" s="18">
        <v>177.7</v>
      </c>
    </row>
    <row r="30" spans="1:22">
      <c r="A30" s="167"/>
      <c r="B30" s="16" t="s">
        <v>16</v>
      </c>
      <c r="C30" s="18">
        <v>25.16</v>
      </c>
      <c r="D30" s="18">
        <v>13.1</v>
      </c>
      <c r="E30" s="18">
        <v>54.86</v>
      </c>
      <c r="F30" s="18">
        <v>56.7</v>
      </c>
      <c r="G30" s="18">
        <v>53.5</v>
      </c>
      <c r="H30" s="18">
        <v>50.7</v>
      </c>
      <c r="I30" s="19">
        <v>34.450000000000003</v>
      </c>
      <c r="J30" s="18">
        <v>122.8</v>
      </c>
      <c r="K30" s="18">
        <v>143.19999999999999</v>
      </c>
      <c r="L30" s="18">
        <v>103.6</v>
      </c>
      <c r="M30" s="18">
        <v>187.27</v>
      </c>
      <c r="N30" s="18">
        <v>89</v>
      </c>
      <c r="O30" s="18">
        <v>286.60000000000002</v>
      </c>
      <c r="P30" s="18">
        <v>286.60000000000002</v>
      </c>
      <c r="Q30" s="18">
        <v>1217.9000000000001</v>
      </c>
      <c r="R30" s="18">
        <v>2421.5</v>
      </c>
      <c r="S30" s="18">
        <v>4760.7</v>
      </c>
      <c r="T30" s="18">
        <v>77</v>
      </c>
      <c r="U30" s="18">
        <v>109.5</v>
      </c>
      <c r="V30" s="18">
        <v>177.8</v>
      </c>
    </row>
    <row r="31" spans="1:22">
      <c r="A31" s="167"/>
      <c r="B31" s="16" t="s">
        <v>17</v>
      </c>
      <c r="C31" s="18">
        <v>25.16</v>
      </c>
      <c r="D31" s="18">
        <v>13.1</v>
      </c>
      <c r="E31" s="18">
        <v>54.86</v>
      </c>
      <c r="F31" s="18">
        <v>56.7</v>
      </c>
      <c r="G31" s="18">
        <v>56.8</v>
      </c>
      <c r="H31" s="18">
        <v>50.1</v>
      </c>
      <c r="I31" s="19">
        <v>34.450000000000003</v>
      </c>
      <c r="J31" s="18">
        <v>133.9</v>
      </c>
      <c r="K31" s="18">
        <v>152</v>
      </c>
      <c r="L31" s="18">
        <v>103.6</v>
      </c>
      <c r="M31" s="18">
        <v>187.27</v>
      </c>
      <c r="N31" s="18">
        <v>89</v>
      </c>
      <c r="O31" s="18">
        <v>286.60000000000002</v>
      </c>
      <c r="P31" s="18">
        <v>286.60000000000002</v>
      </c>
      <c r="Q31" s="18">
        <v>1217.9000000000001</v>
      </c>
      <c r="R31" s="18">
        <v>2460.6999999999998</v>
      </c>
      <c r="S31" s="18">
        <v>4760.7</v>
      </c>
      <c r="T31" s="18">
        <v>77</v>
      </c>
      <c r="U31" s="18">
        <v>117.1</v>
      </c>
      <c r="V31" s="18">
        <v>168.5</v>
      </c>
    </row>
    <row r="32" spans="1:22">
      <c r="A32" s="166">
        <v>2024</v>
      </c>
      <c r="B32" s="15" t="s">
        <v>18</v>
      </c>
      <c r="C32" s="17">
        <v>26.49</v>
      </c>
      <c r="D32" s="17">
        <v>11.7</v>
      </c>
      <c r="E32" s="17">
        <v>29.9</v>
      </c>
      <c r="F32" s="17">
        <v>49.1</v>
      </c>
      <c r="G32" s="17">
        <v>58.5</v>
      </c>
      <c r="H32" s="17">
        <v>51.1</v>
      </c>
      <c r="I32" s="20">
        <v>29.73</v>
      </c>
      <c r="J32" s="17">
        <v>133.1</v>
      </c>
      <c r="K32" s="17">
        <v>152.69999999999999</v>
      </c>
      <c r="L32" s="17">
        <v>77.400000000000006</v>
      </c>
      <c r="M32" s="17">
        <v>173.38</v>
      </c>
      <c r="N32" s="17">
        <v>74.400000000000006</v>
      </c>
      <c r="O32" s="17">
        <v>286.60000000000002</v>
      </c>
      <c r="P32" s="17">
        <v>266.7</v>
      </c>
      <c r="Q32" s="17">
        <v>1217.9000000000001</v>
      </c>
      <c r="R32" s="17">
        <v>2520.4</v>
      </c>
      <c r="S32" s="17">
        <v>4988</v>
      </c>
      <c r="T32" s="17">
        <v>59.3</v>
      </c>
      <c r="U32" s="17">
        <v>127.9</v>
      </c>
      <c r="V32" s="17">
        <v>169.9</v>
      </c>
    </row>
    <row r="33" spans="1:22">
      <c r="A33" s="166"/>
      <c r="B33" s="15" t="s">
        <v>19</v>
      </c>
      <c r="C33" s="17">
        <v>30</v>
      </c>
      <c r="D33" s="17">
        <v>11.9</v>
      </c>
      <c r="E33" s="17">
        <v>30.67</v>
      </c>
      <c r="F33" s="17">
        <v>47</v>
      </c>
      <c r="G33" s="17">
        <v>54.6</v>
      </c>
      <c r="H33" s="17">
        <v>50.1</v>
      </c>
      <c r="I33" s="20">
        <v>43.64</v>
      </c>
      <c r="J33" s="17">
        <v>159.1</v>
      </c>
      <c r="K33" s="17">
        <v>145.19999999999999</v>
      </c>
      <c r="L33" s="17">
        <v>81.099999999999994</v>
      </c>
      <c r="M33" s="17">
        <v>183.49</v>
      </c>
      <c r="N33" s="17">
        <v>80.400000000000006</v>
      </c>
      <c r="O33" s="17">
        <v>286.60000000000002</v>
      </c>
      <c r="P33" s="17">
        <v>271</v>
      </c>
      <c r="Q33" s="17">
        <v>943.6</v>
      </c>
      <c r="R33" s="17">
        <v>2515.9</v>
      </c>
      <c r="S33" s="17">
        <v>5007.7</v>
      </c>
      <c r="T33" s="17">
        <v>55.1</v>
      </c>
      <c r="U33" s="17">
        <v>124.1</v>
      </c>
      <c r="V33" s="17">
        <v>174.5</v>
      </c>
    </row>
    <row r="34" spans="1:22">
      <c r="A34" s="166"/>
      <c r="B34" s="15" t="s">
        <v>20</v>
      </c>
      <c r="C34" s="17">
        <v>28.25</v>
      </c>
      <c r="D34" s="17">
        <v>11.9</v>
      </c>
      <c r="E34" s="17">
        <v>26</v>
      </c>
      <c r="F34" s="17">
        <v>40.799999999999997</v>
      </c>
      <c r="G34" s="17">
        <v>54.6</v>
      </c>
      <c r="H34" s="17">
        <v>45.1</v>
      </c>
      <c r="I34" s="20">
        <v>49.64</v>
      </c>
      <c r="J34" s="17">
        <v>178</v>
      </c>
      <c r="K34" s="17">
        <v>152.1</v>
      </c>
      <c r="L34" s="17">
        <v>71.900000000000006</v>
      </c>
      <c r="M34" s="17">
        <v>177.09</v>
      </c>
      <c r="N34" s="17">
        <v>73.7</v>
      </c>
      <c r="O34" s="17">
        <v>237.8</v>
      </c>
      <c r="P34" s="17">
        <v>263.2</v>
      </c>
      <c r="Q34" s="17">
        <v>776</v>
      </c>
      <c r="R34" s="17">
        <v>2444.9</v>
      </c>
      <c r="S34" s="17">
        <v>4687.8999999999996</v>
      </c>
      <c r="T34" s="17">
        <v>45</v>
      </c>
      <c r="U34" s="17">
        <v>119.3</v>
      </c>
      <c r="V34" s="17">
        <v>173.3</v>
      </c>
    </row>
    <row r="35" spans="1:22">
      <c r="A35" s="166"/>
      <c r="B35" s="15" t="s">
        <v>21</v>
      </c>
      <c r="C35" s="17">
        <v>27.19</v>
      </c>
      <c r="D35" s="17">
        <v>11.9</v>
      </c>
      <c r="E35" s="17">
        <v>20.76</v>
      </c>
      <c r="F35" s="17">
        <v>37.1</v>
      </c>
      <c r="G35" s="17">
        <v>58.1</v>
      </c>
      <c r="H35" s="17">
        <v>43.2</v>
      </c>
      <c r="I35" s="20">
        <v>72.45</v>
      </c>
      <c r="J35" s="17">
        <v>177.8</v>
      </c>
      <c r="K35" s="17">
        <v>144.1</v>
      </c>
      <c r="L35" s="17">
        <v>66.599999999999994</v>
      </c>
      <c r="M35" s="17">
        <v>170.4</v>
      </c>
      <c r="N35" s="17">
        <v>75</v>
      </c>
      <c r="O35" s="17">
        <v>235.8</v>
      </c>
      <c r="P35" s="17">
        <v>256.60000000000002</v>
      </c>
      <c r="Q35" s="17">
        <v>768.7</v>
      </c>
      <c r="R35" s="17">
        <v>2328.5</v>
      </c>
      <c r="S35" s="17">
        <v>4474.8999999999996</v>
      </c>
      <c r="T35" s="17">
        <v>45.2</v>
      </c>
      <c r="U35" s="17">
        <v>110</v>
      </c>
      <c r="V35" s="17">
        <v>174.5</v>
      </c>
    </row>
    <row r="36" spans="1:22">
      <c r="A36" s="166"/>
      <c r="B36" s="15" t="s">
        <v>22</v>
      </c>
      <c r="C36" s="17">
        <v>26.05</v>
      </c>
      <c r="D36" s="17">
        <v>12.3</v>
      </c>
      <c r="E36" s="17">
        <v>18.760000000000002</v>
      </c>
      <c r="F36" s="17">
        <v>32.6</v>
      </c>
      <c r="G36" s="17">
        <v>54.6</v>
      </c>
      <c r="H36" s="17">
        <v>39.299999999999997</v>
      </c>
      <c r="I36" s="20">
        <v>79</v>
      </c>
      <c r="J36" s="17">
        <v>165.8</v>
      </c>
      <c r="K36" s="17">
        <v>131.80000000000001</v>
      </c>
      <c r="L36" s="17">
        <v>62.9</v>
      </c>
      <c r="M36" s="17">
        <v>155.93</v>
      </c>
      <c r="N36" s="17">
        <v>65.099999999999994</v>
      </c>
      <c r="O36" s="17">
        <v>223.5</v>
      </c>
      <c r="P36" s="17">
        <v>243</v>
      </c>
      <c r="Q36" s="17">
        <v>634.20000000000005</v>
      </c>
      <c r="R36" s="17">
        <v>2007.3</v>
      </c>
      <c r="S36" s="17">
        <v>4122.8999999999996</v>
      </c>
      <c r="T36" s="17">
        <v>40</v>
      </c>
      <c r="U36" s="17">
        <v>86.3</v>
      </c>
      <c r="V36" s="17">
        <v>170.1</v>
      </c>
    </row>
    <row r="37" spans="1:22">
      <c r="A37" s="166"/>
      <c r="B37" s="15" t="s">
        <v>23</v>
      </c>
      <c r="C37" s="17">
        <v>26.51</v>
      </c>
      <c r="D37" s="17">
        <v>9.8000000000000007</v>
      </c>
      <c r="E37" s="17">
        <v>17.71</v>
      </c>
      <c r="F37" s="17">
        <v>31.7</v>
      </c>
      <c r="G37" s="17">
        <v>53.3</v>
      </c>
      <c r="H37" s="17">
        <v>39.9</v>
      </c>
      <c r="I37" s="20">
        <v>78.73</v>
      </c>
      <c r="J37" s="17">
        <v>165.1</v>
      </c>
      <c r="K37" s="17">
        <v>132.4</v>
      </c>
      <c r="L37" s="17">
        <v>64.3</v>
      </c>
      <c r="M37" s="17">
        <v>173.75</v>
      </c>
      <c r="N37" s="17">
        <v>67.8</v>
      </c>
      <c r="O37" s="17">
        <v>247.7</v>
      </c>
      <c r="P37" s="17">
        <v>249.8</v>
      </c>
      <c r="Q37" s="17">
        <v>770.1</v>
      </c>
      <c r="R37" s="17">
        <v>2274.5</v>
      </c>
      <c r="S37" s="17">
        <v>4600</v>
      </c>
      <c r="T37" s="17">
        <v>37.9</v>
      </c>
      <c r="U37" s="17">
        <v>99.1</v>
      </c>
      <c r="V37" s="17">
        <v>174.6</v>
      </c>
    </row>
    <row r="38" spans="1:22">
      <c r="A38" s="166"/>
      <c r="B38" s="15" t="s">
        <v>24</v>
      </c>
      <c r="C38" s="17">
        <v>28.68</v>
      </c>
      <c r="D38" s="17">
        <v>10.4</v>
      </c>
      <c r="E38" s="17">
        <v>19.05</v>
      </c>
      <c r="F38" s="17">
        <v>31.7</v>
      </c>
      <c r="G38" s="17">
        <v>56.2</v>
      </c>
      <c r="H38" s="17">
        <v>38.4</v>
      </c>
      <c r="I38" s="20">
        <v>85.18</v>
      </c>
      <c r="J38" s="17">
        <v>163</v>
      </c>
      <c r="K38" s="17">
        <v>119.5</v>
      </c>
      <c r="L38" s="17">
        <v>62.6</v>
      </c>
      <c r="M38" s="17">
        <v>165.82</v>
      </c>
      <c r="N38" s="17">
        <v>62.5</v>
      </c>
      <c r="O38" s="17">
        <v>252.5</v>
      </c>
      <c r="P38" s="17">
        <v>242.7</v>
      </c>
      <c r="Q38" s="17">
        <v>710.1</v>
      </c>
      <c r="R38" s="17">
        <v>2292</v>
      </c>
      <c r="S38" s="17">
        <v>4767.7</v>
      </c>
      <c r="T38" s="17">
        <v>38</v>
      </c>
      <c r="U38" s="17">
        <v>92.4</v>
      </c>
      <c r="V38" s="17">
        <v>178.5</v>
      </c>
    </row>
    <row r="39" spans="1:22">
      <c r="A39" s="166"/>
      <c r="B39" s="15" t="s">
        <v>25</v>
      </c>
      <c r="C39" s="17">
        <v>41.43</v>
      </c>
      <c r="D39" s="17">
        <v>12.4</v>
      </c>
      <c r="E39" s="17">
        <v>23.62</v>
      </c>
      <c r="F39" s="17">
        <v>43.3</v>
      </c>
      <c r="G39" s="17">
        <v>48.3</v>
      </c>
      <c r="H39" s="17">
        <v>39</v>
      </c>
      <c r="I39" s="20">
        <v>69.73</v>
      </c>
      <c r="J39" s="17">
        <v>160.5</v>
      </c>
      <c r="K39" s="17">
        <v>201.1</v>
      </c>
      <c r="L39" s="17">
        <v>71.099999999999994</v>
      </c>
      <c r="M39" s="17">
        <v>172.58</v>
      </c>
      <c r="N39" s="17">
        <v>76.3</v>
      </c>
      <c r="O39" s="17">
        <v>344</v>
      </c>
      <c r="P39" s="17">
        <v>322.5</v>
      </c>
      <c r="Q39" s="17">
        <v>761.1</v>
      </c>
      <c r="R39" s="17">
        <v>2263.6999999999998</v>
      </c>
      <c r="S39" s="17">
        <v>4839.3999999999996</v>
      </c>
      <c r="T39" s="17">
        <v>41.6</v>
      </c>
      <c r="U39" s="17">
        <v>91.1</v>
      </c>
      <c r="V39" s="17">
        <v>194.3</v>
      </c>
    </row>
    <row r="40" spans="1:22">
      <c r="A40" s="166"/>
      <c r="B40" s="15" t="s">
        <v>26</v>
      </c>
      <c r="C40" s="17">
        <v>41.89</v>
      </c>
      <c r="D40" s="17">
        <v>10.8</v>
      </c>
      <c r="E40" s="17">
        <v>20.100000000000001</v>
      </c>
      <c r="F40" s="17">
        <v>38.5</v>
      </c>
      <c r="G40" s="17">
        <v>38.5</v>
      </c>
      <c r="H40" s="17">
        <v>36.299999999999997</v>
      </c>
      <c r="I40" s="20">
        <v>78.91</v>
      </c>
      <c r="J40" s="17">
        <v>164</v>
      </c>
      <c r="K40" s="17">
        <v>184.5</v>
      </c>
      <c r="L40" s="17">
        <v>66.099999999999994</v>
      </c>
      <c r="M40" s="17">
        <v>174.47</v>
      </c>
      <c r="N40" s="17">
        <v>59.1</v>
      </c>
      <c r="O40" s="17">
        <v>350.2</v>
      </c>
      <c r="P40" s="17">
        <v>357.9</v>
      </c>
      <c r="Q40" s="17">
        <v>700.6</v>
      </c>
      <c r="R40" s="17">
        <v>2311.9</v>
      </c>
      <c r="S40" s="17">
        <v>4782.5</v>
      </c>
      <c r="T40" s="17">
        <v>34.9</v>
      </c>
      <c r="U40" s="17">
        <v>93.9</v>
      </c>
      <c r="V40" s="17">
        <v>178.9</v>
      </c>
    </row>
    <row r="41" spans="1:22">
      <c r="A41" s="166"/>
      <c r="B41" s="15" t="s">
        <v>15</v>
      </c>
      <c r="C41" s="17">
        <v>39.880000000000003</v>
      </c>
      <c r="D41" s="17">
        <v>11.9</v>
      </c>
      <c r="E41" s="17">
        <v>18.95</v>
      </c>
      <c r="F41" s="17">
        <v>39.700000000000003</v>
      </c>
      <c r="G41" s="17">
        <v>37.9</v>
      </c>
      <c r="H41" s="17">
        <v>31.6</v>
      </c>
      <c r="I41" s="20">
        <v>80.819999999999993</v>
      </c>
      <c r="J41" s="17">
        <v>157.5</v>
      </c>
      <c r="K41" s="17">
        <v>148</v>
      </c>
      <c r="L41" s="17">
        <v>63</v>
      </c>
      <c r="M41" s="17">
        <v>162.47999999999999</v>
      </c>
      <c r="N41" s="17">
        <v>48.9</v>
      </c>
      <c r="O41" s="17">
        <v>314.2</v>
      </c>
      <c r="P41" s="17">
        <v>306.10000000000002</v>
      </c>
      <c r="Q41" s="35">
        <v>670</v>
      </c>
      <c r="R41" s="17">
        <v>2287.8000000000002</v>
      </c>
      <c r="S41" s="17">
        <v>4642.8999999999996</v>
      </c>
      <c r="T41" s="17">
        <v>32.4</v>
      </c>
      <c r="U41" s="17">
        <v>86.9</v>
      </c>
      <c r="V41" s="17">
        <v>176.1</v>
      </c>
    </row>
    <row r="42" spans="1:22">
      <c r="A42" s="166"/>
      <c r="B42" s="15" t="s">
        <v>16</v>
      </c>
      <c r="C42" s="17">
        <v>37.33</v>
      </c>
      <c r="D42" s="17">
        <v>11</v>
      </c>
      <c r="E42" s="17">
        <v>18.86</v>
      </c>
      <c r="F42" s="17">
        <v>41</v>
      </c>
      <c r="G42" s="17">
        <v>43</v>
      </c>
      <c r="H42" s="17">
        <v>34.4</v>
      </c>
      <c r="I42" s="20">
        <v>89.1</v>
      </c>
      <c r="J42" s="17">
        <v>214</v>
      </c>
      <c r="K42" s="17">
        <v>154</v>
      </c>
      <c r="L42" s="17">
        <v>64.5</v>
      </c>
      <c r="M42" s="17">
        <v>162.80000000000001</v>
      </c>
      <c r="N42" s="17">
        <v>62.3</v>
      </c>
      <c r="O42" s="17">
        <v>319.7</v>
      </c>
      <c r="P42" s="17">
        <v>285</v>
      </c>
      <c r="Q42" s="35">
        <v>637.70000000000005</v>
      </c>
      <c r="R42" s="17">
        <v>2332.5</v>
      </c>
      <c r="S42" s="17">
        <v>4344.6000000000004</v>
      </c>
      <c r="T42" s="17">
        <v>36.9</v>
      </c>
      <c r="U42" s="17">
        <v>85.1</v>
      </c>
      <c r="V42" s="17">
        <v>191.1</v>
      </c>
    </row>
    <row r="43" spans="1:22">
      <c r="A43" s="166"/>
      <c r="B43" s="15" t="s">
        <v>17</v>
      </c>
      <c r="C43" s="17">
        <v>37.869999999999997</v>
      </c>
      <c r="D43" s="17">
        <v>10.8</v>
      </c>
      <c r="E43" s="17">
        <v>17.43</v>
      </c>
      <c r="F43" s="17">
        <v>38.9</v>
      </c>
      <c r="G43" s="17">
        <v>41.2</v>
      </c>
      <c r="H43" s="17">
        <v>32</v>
      </c>
      <c r="I43" s="20">
        <v>86.6</v>
      </c>
      <c r="J43" s="17">
        <v>225.3</v>
      </c>
      <c r="K43" s="17">
        <v>158</v>
      </c>
      <c r="L43" s="17">
        <v>66.400000000000006</v>
      </c>
      <c r="M43" s="17">
        <v>159.91999999999999</v>
      </c>
      <c r="N43" s="17">
        <v>56.7</v>
      </c>
      <c r="O43" s="17">
        <v>323.10000000000002</v>
      </c>
      <c r="P43" s="17">
        <v>286.8</v>
      </c>
      <c r="Q43" s="17">
        <v>635.1</v>
      </c>
      <c r="R43" s="17">
        <v>2282.8000000000002</v>
      </c>
      <c r="S43" s="17">
        <v>4350</v>
      </c>
      <c r="T43" s="17">
        <v>34.4</v>
      </c>
      <c r="U43" s="17">
        <v>85.2</v>
      </c>
      <c r="V43" s="17">
        <v>171.4</v>
      </c>
    </row>
    <row r="44" spans="1:22">
      <c r="A44" s="167">
        <v>2025</v>
      </c>
      <c r="B44" s="16" t="s">
        <v>18</v>
      </c>
      <c r="C44" s="18">
        <v>40.04</v>
      </c>
      <c r="D44" s="18">
        <v>10.3</v>
      </c>
      <c r="E44" s="18">
        <v>16.29</v>
      </c>
      <c r="F44" s="18">
        <v>35.299999999999997</v>
      </c>
      <c r="G44" s="18">
        <v>39</v>
      </c>
      <c r="H44" s="18">
        <v>32</v>
      </c>
      <c r="I44" s="19">
        <v>84.5</v>
      </c>
      <c r="J44" s="18">
        <v>191.9</v>
      </c>
      <c r="K44" s="18">
        <v>153.69999999999999</v>
      </c>
      <c r="L44" s="18">
        <v>67.099999999999994</v>
      </c>
      <c r="M44" s="18">
        <v>161.12</v>
      </c>
      <c r="N44" s="18">
        <v>55.6</v>
      </c>
      <c r="O44" s="18">
        <v>335.4</v>
      </c>
      <c r="P44" s="18">
        <v>287.89999999999998</v>
      </c>
      <c r="Q44" s="18">
        <v>499.3</v>
      </c>
      <c r="R44" s="18">
        <v>2321.1</v>
      </c>
      <c r="S44" s="18">
        <v>4074.7</v>
      </c>
      <c r="T44" s="18">
        <v>32.1</v>
      </c>
      <c r="U44" s="18">
        <v>90.3</v>
      </c>
      <c r="V44" s="18">
        <v>174.6</v>
      </c>
    </row>
    <row r="45" spans="1:22">
      <c r="A45" s="167"/>
      <c r="B45" s="16" t="s">
        <v>19</v>
      </c>
      <c r="C45" s="18">
        <v>40.43</v>
      </c>
      <c r="D45" s="18">
        <v>10.3</v>
      </c>
      <c r="E45" s="18">
        <v>17.239999999999998</v>
      </c>
      <c r="F45" s="18">
        <v>37.1</v>
      </c>
      <c r="G45" s="18">
        <v>37.6</v>
      </c>
      <c r="H45" s="18">
        <v>30.7</v>
      </c>
      <c r="I45" s="19">
        <v>84.4</v>
      </c>
      <c r="J45" s="18">
        <v>192.8</v>
      </c>
      <c r="K45" s="18">
        <v>146</v>
      </c>
      <c r="L45" s="18">
        <v>66.900000000000006</v>
      </c>
      <c r="M45" s="18">
        <v>162.56</v>
      </c>
      <c r="N45" s="18">
        <v>53.3</v>
      </c>
      <c r="O45" s="18">
        <v>328.2</v>
      </c>
      <c r="P45" s="18">
        <v>293.3</v>
      </c>
      <c r="Q45" s="18">
        <v>508.3</v>
      </c>
      <c r="R45" s="18">
        <v>2371.5</v>
      </c>
      <c r="S45" s="18">
        <v>3999.9</v>
      </c>
      <c r="T45" s="18">
        <v>40.799999999999997</v>
      </c>
      <c r="U45" s="18">
        <v>93.7</v>
      </c>
      <c r="V45" s="18">
        <v>175.3</v>
      </c>
    </row>
    <row r="46" spans="1:22">
      <c r="A46" s="167"/>
      <c r="B46" s="16" t="s">
        <v>20</v>
      </c>
      <c r="C46" s="18">
        <v>39.340000000000003</v>
      </c>
      <c r="D46" s="18">
        <v>10.9</v>
      </c>
      <c r="E46" s="18">
        <v>16.190000000000001</v>
      </c>
      <c r="F46" s="18">
        <v>36.1</v>
      </c>
      <c r="G46" s="18">
        <v>38.5</v>
      </c>
      <c r="H46" s="18">
        <v>30</v>
      </c>
      <c r="I46" s="19">
        <v>83.8</v>
      </c>
      <c r="J46" s="18">
        <v>194.8</v>
      </c>
      <c r="K46" s="18">
        <v>147.19999999999999</v>
      </c>
      <c r="L46" s="18">
        <v>66.5</v>
      </c>
      <c r="M46" s="18">
        <v>165.52</v>
      </c>
      <c r="N46" s="18">
        <v>51.6</v>
      </c>
      <c r="O46" s="18">
        <v>321.89999999999998</v>
      </c>
      <c r="P46" s="18">
        <v>287.7</v>
      </c>
      <c r="Q46" s="18">
        <v>500.5</v>
      </c>
      <c r="R46" s="18">
        <v>2435.8000000000002</v>
      </c>
      <c r="S46" s="18">
        <v>3861.8</v>
      </c>
      <c r="T46" s="18">
        <v>44.8</v>
      </c>
      <c r="U46" s="18">
        <v>84</v>
      </c>
      <c r="V46" s="18">
        <v>175.5</v>
      </c>
    </row>
    <row r="47" spans="1:22">
      <c r="A47" s="167"/>
      <c r="B47" s="16" t="s">
        <v>21</v>
      </c>
      <c r="C47" s="18">
        <v>38.340000000000003</v>
      </c>
      <c r="D47" s="18">
        <v>10.7</v>
      </c>
      <c r="E47" s="18">
        <v>15.43</v>
      </c>
      <c r="F47" s="18">
        <v>33.9</v>
      </c>
      <c r="G47" s="18">
        <v>34.799999999999997</v>
      </c>
      <c r="H47" s="18">
        <v>31.2</v>
      </c>
      <c r="I47" s="19">
        <v>83.4</v>
      </c>
      <c r="J47" s="18">
        <v>201.9</v>
      </c>
      <c r="K47" s="18">
        <v>152.1</v>
      </c>
      <c r="L47" s="18">
        <v>64.7</v>
      </c>
      <c r="M47" s="18">
        <v>166.56</v>
      </c>
      <c r="N47" s="18">
        <v>49.4</v>
      </c>
      <c r="O47" s="18">
        <v>299.60000000000002</v>
      </c>
      <c r="P47" s="18">
        <v>293</v>
      </c>
      <c r="Q47" s="18">
        <v>490.9</v>
      </c>
      <c r="R47" s="18">
        <v>2541.1999999999998</v>
      </c>
      <c r="S47" s="18">
        <v>3678.7</v>
      </c>
      <c r="T47" s="18">
        <v>40.700000000000003</v>
      </c>
      <c r="U47" s="18">
        <v>71.099999999999994</v>
      </c>
      <c r="V47" s="18">
        <v>172.2</v>
      </c>
    </row>
    <row r="48" spans="1:22">
      <c r="A48" s="167"/>
      <c r="B48" s="16" t="s">
        <v>22</v>
      </c>
      <c r="C48" s="18">
        <v>40</v>
      </c>
      <c r="D48" s="18">
        <v>9.8000000000000007</v>
      </c>
      <c r="E48" s="18">
        <v>13.8</v>
      </c>
      <c r="F48" s="18">
        <v>32</v>
      </c>
      <c r="G48" s="18">
        <v>34.1</v>
      </c>
      <c r="H48" s="18">
        <v>27.8</v>
      </c>
      <c r="I48" s="19">
        <v>80.3</v>
      </c>
      <c r="J48" s="18">
        <v>217.1</v>
      </c>
      <c r="K48" s="18">
        <v>144.5</v>
      </c>
      <c r="L48" s="18">
        <v>59.4</v>
      </c>
      <c r="M48" s="18">
        <v>156.63999999999999</v>
      </c>
      <c r="N48" s="18">
        <v>48.1</v>
      </c>
      <c r="O48" s="18">
        <v>283.39999999999998</v>
      </c>
      <c r="P48" s="18">
        <v>283.89999999999998</v>
      </c>
      <c r="Q48" s="18">
        <v>477.5</v>
      </c>
      <c r="R48" s="18">
        <v>2299.6999999999998</v>
      </c>
      <c r="S48" s="18">
        <v>3280.8</v>
      </c>
      <c r="T48" s="18">
        <v>39.6</v>
      </c>
      <c r="U48" s="18">
        <v>62.8</v>
      </c>
      <c r="V48" s="18">
        <v>171.8</v>
      </c>
    </row>
    <row r="49" spans="1:22">
      <c r="A49" s="167"/>
      <c r="B49" s="16" t="s">
        <v>23</v>
      </c>
      <c r="C49" s="18">
        <v>44.09</v>
      </c>
      <c r="D49" s="18">
        <v>9.9</v>
      </c>
      <c r="E49" s="18">
        <v>14.2</v>
      </c>
      <c r="F49" s="18">
        <v>33.6</v>
      </c>
      <c r="G49" s="18">
        <v>39.299999999999997</v>
      </c>
      <c r="H49" s="18">
        <v>28.9</v>
      </c>
      <c r="I49" s="19">
        <v>98.6</v>
      </c>
      <c r="J49" s="18">
        <v>236.8</v>
      </c>
      <c r="K49" s="18">
        <v>153.5</v>
      </c>
      <c r="L49" s="18">
        <v>62.4</v>
      </c>
      <c r="M49" s="18">
        <v>162.72</v>
      </c>
      <c r="N49" s="18">
        <v>49.7</v>
      </c>
      <c r="O49" s="18">
        <v>303.10000000000002</v>
      </c>
      <c r="P49" s="18">
        <v>294.10000000000002</v>
      </c>
      <c r="Q49" s="18">
        <v>488.4</v>
      </c>
      <c r="R49" s="18">
        <v>2423.1</v>
      </c>
      <c r="S49" s="18">
        <v>3341</v>
      </c>
      <c r="T49" s="18">
        <v>39.5</v>
      </c>
      <c r="U49" s="18">
        <v>69.8</v>
      </c>
      <c r="V49" s="18">
        <v>182.4</v>
      </c>
    </row>
    <row r="50" spans="1:22">
      <c r="A50" s="167"/>
      <c r="B50" s="16" t="s">
        <v>24</v>
      </c>
      <c r="C50" s="18">
        <v>61.48</v>
      </c>
      <c r="D50" s="18">
        <v>13</v>
      </c>
      <c r="E50" s="18">
        <v>18.899999999999999</v>
      </c>
      <c r="F50" s="18">
        <v>40.799999999999997</v>
      </c>
      <c r="G50" s="18">
        <v>41</v>
      </c>
      <c r="H50" s="18">
        <v>34.5</v>
      </c>
      <c r="I50" s="19">
        <v>92.4</v>
      </c>
      <c r="J50" s="18">
        <v>259.3</v>
      </c>
      <c r="K50" s="18">
        <v>166.9</v>
      </c>
      <c r="L50" s="18">
        <v>67.7</v>
      </c>
      <c r="M50" s="18">
        <v>175.68</v>
      </c>
      <c r="N50" s="18">
        <v>55.9</v>
      </c>
      <c r="O50" s="18">
        <v>313</v>
      </c>
      <c r="P50" s="18">
        <v>313.39999999999998</v>
      </c>
      <c r="Q50" s="18">
        <v>510.9</v>
      </c>
      <c r="R50" s="18">
        <v>2880.2</v>
      </c>
      <c r="S50" s="18">
        <v>3389</v>
      </c>
      <c r="T50" s="18">
        <v>40.200000000000003</v>
      </c>
      <c r="U50" s="18">
        <v>76.5</v>
      </c>
      <c r="V50" s="18">
        <v>190.4</v>
      </c>
    </row>
    <row r="51" spans="1:22">
      <c r="A51" s="167"/>
      <c r="B51" s="16" t="s">
        <v>25</v>
      </c>
      <c r="C51" s="18">
        <v>66.52</v>
      </c>
      <c r="D51" s="18">
        <v>12.1</v>
      </c>
      <c r="E51" s="18">
        <v>19.100000000000001</v>
      </c>
      <c r="F51" s="18">
        <v>38.6</v>
      </c>
      <c r="G51" s="18">
        <v>46.8</v>
      </c>
      <c r="H51" s="18">
        <v>35.6</v>
      </c>
      <c r="I51" s="19">
        <v>103.3</v>
      </c>
      <c r="J51" s="18">
        <v>287.7</v>
      </c>
      <c r="K51" s="18">
        <v>169.9</v>
      </c>
      <c r="L51" s="18">
        <v>77.7</v>
      </c>
      <c r="M51" s="18">
        <v>186.72</v>
      </c>
      <c r="N51" s="18">
        <v>62.4</v>
      </c>
      <c r="O51" s="18">
        <v>310.39999999999998</v>
      </c>
      <c r="P51" s="18">
        <v>321.3</v>
      </c>
      <c r="Q51" s="18">
        <v>528.5</v>
      </c>
      <c r="R51" s="18">
        <v>2918.8</v>
      </c>
      <c r="S51" s="18">
        <v>3439.4</v>
      </c>
      <c r="T51" s="18">
        <v>45.8</v>
      </c>
      <c r="U51" s="18">
        <v>82.6</v>
      </c>
      <c r="V51" s="18">
        <v>191.1</v>
      </c>
    </row>
    <row r="52" spans="1:22">
      <c r="A52" s="167"/>
      <c r="B52" s="16" t="s">
        <v>26</v>
      </c>
      <c r="C52" s="18">
        <v>60.43</v>
      </c>
      <c r="D52" s="18">
        <v>12.2</v>
      </c>
      <c r="E52" s="18">
        <v>22.1</v>
      </c>
      <c r="F52" s="18">
        <v>38.1</v>
      </c>
      <c r="G52" s="18">
        <v>44.4</v>
      </c>
      <c r="H52" s="18">
        <v>34.4</v>
      </c>
      <c r="I52" s="19">
        <v>96.7</v>
      </c>
      <c r="J52" s="18">
        <v>316.7</v>
      </c>
      <c r="K52" s="18">
        <v>154.69999999999999</v>
      </c>
      <c r="L52" s="18">
        <v>76.3</v>
      </c>
      <c r="M52" s="18">
        <v>189.12</v>
      </c>
      <c r="N52" s="18">
        <v>59.1</v>
      </c>
      <c r="O52" s="18">
        <v>299</v>
      </c>
      <c r="P52" s="18">
        <v>307.3</v>
      </c>
      <c r="Q52" s="18">
        <v>480.4</v>
      </c>
      <c r="R52" s="18">
        <v>2842.1</v>
      </c>
      <c r="S52" s="18">
        <v>3415.9</v>
      </c>
      <c r="T52" s="18">
        <v>47.7</v>
      </c>
      <c r="U52" s="18">
        <v>74.7</v>
      </c>
      <c r="V52" s="18">
        <v>187.3</v>
      </c>
    </row>
    <row r="53" spans="1:22">
      <c r="A53" s="167"/>
      <c r="B53" s="16" t="s">
        <v>15</v>
      </c>
      <c r="C53" s="18">
        <v>59.22</v>
      </c>
      <c r="D53" s="18">
        <v>11.1</v>
      </c>
      <c r="E53" s="18">
        <v>21.5</v>
      </c>
      <c r="F53" s="18">
        <v>36.6</v>
      </c>
      <c r="G53" s="18">
        <v>43.3</v>
      </c>
      <c r="H53" s="18">
        <v>31.8</v>
      </c>
      <c r="I53" s="19">
        <v>95.4</v>
      </c>
      <c r="J53" s="18">
        <v>308.3</v>
      </c>
      <c r="K53" s="18">
        <v>148.6</v>
      </c>
      <c r="L53" s="18">
        <v>75.7</v>
      </c>
      <c r="M53" s="18">
        <v>193.1</v>
      </c>
      <c r="N53" s="18">
        <v>55.1</v>
      </c>
      <c r="O53" s="18">
        <v>283.39999999999998</v>
      </c>
      <c r="P53" s="18">
        <v>291.7</v>
      </c>
      <c r="Q53" s="18">
        <v>437.2</v>
      </c>
      <c r="R53" s="18">
        <v>2780.2</v>
      </c>
      <c r="S53" s="18">
        <v>3523.1</v>
      </c>
      <c r="T53" s="18">
        <v>42.2</v>
      </c>
      <c r="U53" s="18">
        <v>65.599999999999994</v>
      </c>
      <c r="V53" s="18">
        <v>187.8</v>
      </c>
    </row>
    <row r="54" spans="1:22">
      <c r="A54" s="167"/>
      <c r="B54" s="16" t="s">
        <v>16</v>
      </c>
      <c r="C54" s="18">
        <v>57.22</v>
      </c>
      <c r="D54" s="18">
        <v>11.6</v>
      </c>
      <c r="E54" s="18">
        <v>19.7</v>
      </c>
      <c r="F54" s="18">
        <v>35.700000000000003</v>
      </c>
      <c r="G54" s="18">
        <v>40.5</v>
      </c>
      <c r="H54" s="18">
        <v>30.4</v>
      </c>
      <c r="I54" s="19">
        <v>71.099999999999994</v>
      </c>
      <c r="J54" s="18">
        <v>315.39999999999998</v>
      </c>
      <c r="K54" s="18">
        <v>140.9</v>
      </c>
      <c r="L54" s="18">
        <v>66.400000000000006</v>
      </c>
      <c r="M54" s="18">
        <v>190.5</v>
      </c>
      <c r="N54" s="18">
        <v>51.9</v>
      </c>
      <c r="O54" s="18">
        <v>279.5</v>
      </c>
      <c r="P54" s="18">
        <v>312.60000000000002</v>
      </c>
      <c r="Q54" s="18">
        <v>406.2</v>
      </c>
      <c r="R54" s="18">
        <v>2735.2</v>
      </c>
      <c r="S54" s="18">
        <v>3388.1</v>
      </c>
      <c r="T54" s="18">
        <v>41.5</v>
      </c>
      <c r="U54" s="18">
        <v>60.7</v>
      </c>
      <c r="V54" s="18">
        <v>191.5</v>
      </c>
    </row>
    <row r="55" spans="1:22">
      <c r="A55" s="167"/>
      <c r="B55" s="16" t="s">
        <v>17</v>
      </c>
      <c r="C55" s="18">
        <v>54.87</v>
      </c>
      <c r="D55" s="18">
        <v>12.2</v>
      </c>
      <c r="E55" s="18">
        <v>18.899999999999999</v>
      </c>
      <c r="F55" s="18">
        <v>34.6</v>
      </c>
      <c r="G55" s="18">
        <v>43.1</v>
      </c>
      <c r="H55" s="18">
        <v>30.5</v>
      </c>
      <c r="I55" s="19">
        <v>67.599999999999994</v>
      </c>
      <c r="J55" s="18">
        <v>380.3</v>
      </c>
      <c r="K55" s="18">
        <v>137.4</v>
      </c>
      <c r="L55" s="18">
        <v>65.3</v>
      </c>
      <c r="M55" s="18">
        <v>177.5</v>
      </c>
      <c r="N55" s="18">
        <v>49.2</v>
      </c>
      <c r="O55" s="18">
        <v>257.89999999999998</v>
      </c>
      <c r="P55" s="18">
        <v>314</v>
      </c>
      <c r="Q55" s="18">
        <v>391.8</v>
      </c>
      <c r="R55" s="18">
        <v>2673.5</v>
      </c>
      <c r="S55" s="18">
        <v>3424.4</v>
      </c>
      <c r="T55" s="18">
        <v>41</v>
      </c>
      <c r="U55" s="18">
        <v>57.8</v>
      </c>
      <c r="V55" s="18">
        <v>167.9</v>
      </c>
    </row>
    <row r="56" spans="1:22">
      <c r="A56" s="166">
        <v>2026</v>
      </c>
      <c r="B56" s="15" t="s">
        <v>18</v>
      </c>
      <c r="C56" s="17">
        <v>64.349999999999994</v>
      </c>
      <c r="D56" s="17">
        <v>12.8</v>
      </c>
      <c r="E56" s="17">
        <v>19.7</v>
      </c>
      <c r="F56" s="17">
        <v>37.5</v>
      </c>
      <c r="G56" s="17">
        <v>55</v>
      </c>
      <c r="H56" s="17">
        <v>40.799999999999997</v>
      </c>
      <c r="I56" s="20">
        <v>69.3</v>
      </c>
      <c r="J56" s="17">
        <v>439</v>
      </c>
      <c r="K56" s="17">
        <v>144.19999999999999</v>
      </c>
      <c r="L56" s="17">
        <v>65.400000000000006</v>
      </c>
      <c r="M56" s="17">
        <v>182.5</v>
      </c>
      <c r="N56" s="17">
        <v>51</v>
      </c>
      <c r="O56" s="17">
        <v>267.8</v>
      </c>
      <c r="P56" s="17">
        <v>344.6</v>
      </c>
      <c r="Q56" s="17">
        <v>421.3</v>
      </c>
      <c r="R56" s="17">
        <v>2780.6</v>
      </c>
      <c r="S56" s="17">
        <v>3470.2</v>
      </c>
      <c r="T56" s="17">
        <v>40.5</v>
      </c>
      <c r="U56" s="17">
        <v>62.1</v>
      </c>
      <c r="V56" s="17">
        <v>169.5</v>
      </c>
    </row>
    <row r="57" spans="1:22">
      <c r="A57" s="166"/>
      <c r="B57" s="15" t="s">
        <v>19</v>
      </c>
      <c r="C57" s="17">
        <v>76.09</v>
      </c>
      <c r="D57" s="17">
        <v>13.3</v>
      </c>
      <c r="E57" s="17">
        <v>20.5</v>
      </c>
      <c r="F57" s="17">
        <v>38.9</v>
      </c>
      <c r="G57" s="17">
        <v>53.3</v>
      </c>
      <c r="H57" s="17">
        <v>38.5</v>
      </c>
      <c r="I57" s="20">
        <v>70</v>
      </c>
      <c r="J57" s="17">
        <v>470.9</v>
      </c>
      <c r="K57" s="17">
        <v>157.80000000000001</v>
      </c>
      <c r="L57" s="17">
        <v>69.099999999999994</v>
      </c>
      <c r="M57" s="17">
        <v>191.7</v>
      </c>
      <c r="N57" s="17">
        <v>69.8</v>
      </c>
      <c r="O57" s="17">
        <v>262.10000000000002</v>
      </c>
      <c r="P57" s="17">
        <v>329.9</v>
      </c>
      <c r="Q57" s="17">
        <v>454</v>
      </c>
      <c r="R57" s="17">
        <v>2877.1</v>
      </c>
      <c r="S57" s="17">
        <v>3561.6</v>
      </c>
      <c r="T57" s="17">
        <v>42.4</v>
      </c>
      <c r="U57" s="17">
        <v>64.8</v>
      </c>
      <c r="V57" s="17">
        <v>177</v>
      </c>
    </row>
    <row r="58" spans="1:22">
      <c r="A58" s="166"/>
      <c r="B58" s="15" t="s">
        <v>20</v>
      </c>
      <c r="C58" s="17">
        <v>58.26</v>
      </c>
      <c r="D58" s="17">
        <v>12.8</v>
      </c>
      <c r="E58" s="17">
        <v>18.7</v>
      </c>
      <c r="F58" s="17">
        <v>36.4</v>
      </c>
      <c r="G58" s="17">
        <v>52.3</v>
      </c>
      <c r="H58" s="17">
        <v>37.1</v>
      </c>
      <c r="I58" s="20">
        <v>68.7</v>
      </c>
      <c r="J58" s="17">
        <v>484.6</v>
      </c>
      <c r="K58" s="17">
        <v>147.1</v>
      </c>
      <c r="L58" s="17">
        <v>64.3</v>
      </c>
      <c r="M58" s="17">
        <v>184</v>
      </c>
      <c r="N58" s="17">
        <v>60.3</v>
      </c>
      <c r="O58" s="17">
        <v>244</v>
      </c>
      <c r="P58" s="17">
        <v>315.8</v>
      </c>
      <c r="Q58" s="17">
        <v>423.2</v>
      </c>
      <c r="R58" s="17">
        <v>2731.8</v>
      </c>
      <c r="S58" s="17">
        <v>3474.2</v>
      </c>
      <c r="T58" s="17">
        <v>39.5</v>
      </c>
      <c r="U58" s="17">
        <v>57.8</v>
      </c>
      <c r="V58" s="17">
        <v>171.1</v>
      </c>
    </row>
    <row r="59" spans="1:22">
      <c r="A59" s="166"/>
      <c r="B59" s="15" t="s">
        <v>21</v>
      </c>
      <c r="C59" s="17">
        <v>63.65</v>
      </c>
      <c r="D59" s="17">
        <v>16.899999999999999</v>
      </c>
      <c r="E59" s="17">
        <v>18.8</v>
      </c>
      <c r="F59" s="17">
        <v>38.1</v>
      </c>
      <c r="G59" s="17">
        <v>53.1</v>
      </c>
      <c r="H59" s="17">
        <v>37.799999999999997</v>
      </c>
      <c r="I59" s="20">
        <v>84.7</v>
      </c>
      <c r="J59" s="17">
        <v>530.9</v>
      </c>
      <c r="K59" s="17">
        <v>142.1</v>
      </c>
      <c r="L59" s="17">
        <v>70.400000000000006</v>
      </c>
      <c r="M59" s="17">
        <v>194</v>
      </c>
      <c r="N59" s="17">
        <v>64.099999999999994</v>
      </c>
      <c r="O59" s="17">
        <v>243</v>
      </c>
      <c r="P59" s="17">
        <v>310</v>
      </c>
      <c r="Q59" s="17">
        <v>416.3</v>
      </c>
      <c r="R59" s="17">
        <v>2768.7</v>
      </c>
      <c r="S59" s="17">
        <v>3470.4</v>
      </c>
      <c r="T59" s="17">
        <v>45.9</v>
      </c>
      <c r="U59" s="17">
        <v>60.2</v>
      </c>
      <c r="V59" s="17">
        <v>169.5</v>
      </c>
    </row>
    <row r="60" spans="1:22">
      <c r="A60" s="166"/>
      <c r="B60" s="15" t="s">
        <v>22</v>
      </c>
      <c r="C60" s="17">
        <v>67.3</v>
      </c>
      <c r="D60" s="17">
        <v>14.6</v>
      </c>
      <c r="E60" s="17">
        <v>18.899999999999999</v>
      </c>
      <c r="F60" s="17">
        <v>37.299999999999997</v>
      </c>
      <c r="G60" s="17">
        <v>50.9</v>
      </c>
      <c r="H60" s="17">
        <v>42</v>
      </c>
      <c r="I60" s="20">
        <v>75.599999999999994</v>
      </c>
      <c r="J60" s="17">
        <v>577</v>
      </c>
      <c r="K60" s="17">
        <v>143</v>
      </c>
      <c r="L60" s="17">
        <v>72.2</v>
      </c>
      <c r="M60" s="17">
        <v>201.1</v>
      </c>
      <c r="N60" s="17">
        <v>62.1</v>
      </c>
      <c r="O60" s="17">
        <v>241</v>
      </c>
      <c r="P60" s="17">
        <v>315.5</v>
      </c>
      <c r="Q60" s="17">
        <v>414</v>
      </c>
      <c r="R60" s="17">
        <v>2759.9</v>
      </c>
      <c r="S60" s="17">
        <v>3282</v>
      </c>
      <c r="T60" s="17">
        <v>49.6</v>
      </c>
      <c r="U60" s="17">
        <v>61.8</v>
      </c>
      <c r="V60" s="17">
        <v>168.5</v>
      </c>
    </row>
    <row r="61" spans="1:22">
      <c r="A61" s="166"/>
      <c r="B61" s="15" t="s">
        <v>23</v>
      </c>
      <c r="C61" s="17">
        <v>65.5</v>
      </c>
      <c r="D61" s="17">
        <v>16</v>
      </c>
      <c r="E61" s="17">
        <v>32.9</v>
      </c>
      <c r="F61" s="17">
        <v>41</v>
      </c>
      <c r="G61" s="17">
        <v>64.3</v>
      </c>
      <c r="H61" s="17">
        <v>45.4</v>
      </c>
      <c r="I61" s="20">
        <v>70.900000000000006</v>
      </c>
      <c r="J61" s="17">
        <v>513.9</v>
      </c>
      <c r="K61" s="17">
        <v>155</v>
      </c>
      <c r="L61" s="17">
        <v>73.099999999999994</v>
      </c>
      <c r="M61" s="17">
        <v>205.6</v>
      </c>
      <c r="N61" s="17">
        <v>67.8</v>
      </c>
      <c r="O61" s="17">
        <v>259.60000000000002</v>
      </c>
      <c r="P61" s="17">
        <v>319.60000000000002</v>
      </c>
      <c r="Q61" s="17">
        <v>456</v>
      </c>
      <c r="R61" s="17">
        <v>2771.2</v>
      </c>
      <c r="S61" s="17">
        <v>3369.2</v>
      </c>
      <c r="T61" s="17">
        <v>53.2</v>
      </c>
      <c r="U61" s="17">
        <v>68.5</v>
      </c>
      <c r="V61" s="17">
        <v>186.5</v>
      </c>
    </row>
    <row r="62" spans="1:22">
      <c r="A62" s="166"/>
      <c r="B62" s="15" t="s">
        <v>24</v>
      </c>
      <c r="C62" s="17">
        <v>63.3</v>
      </c>
      <c r="D62" s="17">
        <v>15.4</v>
      </c>
      <c r="E62" s="17">
        <v>32.200000000000003</v>
      </c>
      <c r="F62" s="17">
        <v>44</v>
      </c>
      <c r="G62" s="17">
        <v>63</v>
      </c>
      <c r="H62" s="17">
        <v>48.2</v>
      </c>
      <c r="I62" s="20">
        <v>69.5</v>
      </c>
      <c r="J62" s="17">
        <v>482.2</v>
      </c>
      <c r="K62" s="17">
        <v>154.19999999999999</v>
      </c>
      <c r="L62" s="17">
        <v>74.099999999999994</v>
      </c>
      <c r="M62" s="17">
        <v>217.7</v>
      </c>
      <c r="N62" s="17">
        <v>68.5</v>
      </c>
      <c r="O62" s="17">
        <v>259.8</v>
      </c>
      <c r="P62" s="17">
        <v>319.89999999999998</v>
      </c>
      <c r="Q62" s="17">
        <v>470.2</v>
      </c>
      <c r="R62" s="17">
        <v>2721.5</v>
      </c>
      <c r="S62" s="17">
        <v>3315.5</v>
      </c>
      <c r="T62" s="17">
        <v>50.5</v>
      </c>
      <c r="U62" s="17">
        <v>67.2</v>
      </c>
      <c r="V62" s="17">
        <v>182.4</v>
      </c>
    </row>
    <row r="63" spans="1:22">
      <c r="A63" s="166"/>
      <c r="B63" s="15" t="s">
        <v>25</v>
      </c>
      <c r="C63" s="17">
        <v>62.2</v>
      </c>
      <c r="D63" s="17">
        <v>15</v>
      </c>
      <c r="E63" s="17">
        <v>31</v>
      </c>
      <c r="F63" s="17">
        <v>40.799999999999997</v>
      </c>
      <c r="G63" s="17">
        <v>58.6</v>
      </c>
      <c r="H63" s="17">
        <v>47.2</v>
      </c>
      <c r="I63" s="20">
        <v>52.5</v>
      </c>
      <c r="J63" s="17">
        <v>472.2</v>
      </c>
      <c r="K63" s="17">
        <v>145.30000000000001</v>
      </c>
      <c r="L63" s="17">
        <v>68.8</v>
      </c>
      <c r="M63" s="17">
        <v>204.7</v>
      </c>
      <c r="N63" s="17">
        <v>63.4</v>
      </c>
      <c r="O63" s="17">
        <v>242.5</v>
      </c>
      <c r="P63" s="17">
        <v>313.10000000000002</v>
      </c>
      <c r="Q63" s="17">
        <v>460</v>
      </c>
      <c r="R63" s="17">
        <v>2699.2</v>
      </c>
      <c r="S63" s="17">
        <v>3285.3</v>
      </c>
      <c r="T63" s="17">
        <v>45.8</v>
      </c>
      <c r="U63" s="17">
        <v>60.5</v>
      </c>
      <c r="V63" s="17">
        <v>176</v>
      </c>
    </row>
  </sheetData>
  <mergeCells count="11">
    <mergeCell ref="A56:A63"/>
    <mergeCell ref="A3:A7"/>
    <mergeCell ref="A8:A19"/>
    <mergeCell ref="A20:A31"/>
    <mergeCell ref="A32:A43"/>
    <mergeCell ref="A44:A55"/>
    <mergeCell ref="C1:D1"/>
    <mergeCell ref="P1:S1"/>
    <mergeCell ref="E1:F1"/>
    <mergeCell ref="G1:H1"/>
    <mergeCell ref="I1:K1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CDA9-0551-4E01-A73E-24967C1B2A8B}">
  <dimension ref="A1:V63"/>
  <sheetViews>
    <sheetView zoomScale="56" zoomScaleNormal="5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Id="1" sqref="A2:B2 A1:XFD1"/>
    </sheetView>
  </sheetViews>
  <sheetFormatPr defaultColWidth="8.81640625" defaultRowHeight="14.5"/>
  <cols>
    <col min="2" max="2" width="10.81640625" bestFit="1" customWidth="1"/>
    <col min="3" max="3" width="9.453125" bestFit="1" customWidth="1"/>
    <col min="5" max="5" width="13.6328125" bestFit="1" customWidth="1"/>
    <col min="6" max="6" width="13.1796875" bestFit="1" customWidth="1"/>
    <col min="7" max="7" width="12" bestFit="1" customWidth="1"/>
    <col min="8" max="8" width="10.7265625" bestFit="1" customWidth="1"/>
    <col min="9" max="9" width="9.81640625" bestFit="1" customWidth="1"/>
    <col min="10" max="10" width="10.36328125" bestFit="1" customWidth="1"/>
    <col min="11" max="11" width="17.81640625" bestFit="1" customWidth="1"/>
    <col min="12" max="12" width="13.1796875" bestFit="1" customWidth="1"/>
    <col min="13" max="13" width="11.6328125" bestFit="1" customWidth="1"/>
    <col min="14" max="14" width="13.453125" bestFit="1" customWidth="1"/>
    <col min="15" max="16" width="15" bestFit="1" customWidth="1"/>
    <col min="17" max="17" width="10" bestFit="1" customWidth="1"/>
    <col min="18" max="18" width="19.1796875" bestFit="1" customWidth="1"/>
    <col min="19" max="19" width="18.81640625" bestFit="1" customWidth="1"/>
    <col min="20" max="20" width="9.6328125" bestFit="1" customWidth="1"/>
    <col min="22" max="22" width="12.453125" customWidth="1"/>
  </cols>
  <sheetData>
    <row r="1" spans="1:22" s="152" customFormat="1">
      <c r="A1" s="151" t="s">
        <v>37</v>
      </c>
      <c r="B1" s="151"/>
      <c r="C1" s="165" t="s">
        <v>12</v>
      </c>
      <c r="D1" s="165"/>
      <c r="E1" s="165" t="s">
        <v>108</v>
      </c>
      <c r="F1" s="165"/>
      <c r="G1" s="165" t="s">
        <v>32</v>
      </c>
      <c r="H1" s="165"/>
      <c r="I1" s="165" t="s">
        <v>30</v>
      </c>
      <c r="J1" s="165"/>
      <c r="K1" s="165"/>
      <c r="L1" s="151" t="s">
        <v>115</v>
      </c>
      <c r="M1" s="151" t="s">
        <v>35</v>
      </c>
      <c r="N1" s="151" t="s">
        <v>27</v>
      </c>
      <c r="O1" s="151" t="s">
        <v>34</v>
      </c>
      <c r="P1" s="165" t="s">
        <v>33</v>
      </c>
      <c r="Q1" s="165"/>
      <c r="R1" s="165"/>
      <c r="S1" s="165"/>
      <c r="T1" s="151" t="s">
        <v>29</v>
      </c>
      <c r="U1" s="151" t="s">
        <v>123</v>
      </c>
      <c r="V1" s="151" t="s">
        <v>125</v>
      </c>
    </row>
    <row r="2" spans="1:22">
      <c r="A2" s="151" t="s">
        <v>14</v>
      </c>
      <c r="B2" s="151" t="s">
        <v>13</v>
      </c>
      <c r="C2" s="6" t="s">
        <v>127</v>
      </c>
      <c r="D2" s="6" t="s">
        <v>105</v>
      </c>
      <c r="E2" s="6" t="s">
        <v>106</v>
      </c>
      <c r="F2" s="6" t="s">
        <v>107</v>
      </c>
      <c r="G2" s="6" t="s">
        <v>109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116</v>
      </c>
      <c r="N2" s="6" t="s">
        <v>117</v>
      </c>
      <c r="O2" s="6" t="s">
        <v>36</v>
      </c>
      <c r="P2" s="6" t="s">
        <v>118</v>
      </c>
      <c r="Q2" s="6" t="s">
        <v>119</v>
      </c>
      <c r="R2" s="6" t="s">
        <v>120</v>
      </c>
      <c r="S2" s="6" t="s">
        <v>121</v>
      </c>
      <c r="T2" s="6" t="s">
        <v>122</v>
      </c>
      <c r="U2" s="6" t="s">
        <v>124</v>
      </c>
      <c r="V2" s="6" t="s">
        <v>126</v>
      </c>
    </row>
    <row r="3" spans="1:22" s="18" customFormat="1">
      <c r="A3" s="167">
        <v>2021</v>
      </c>
      <c r="B3" s="16" t="s">
        <v>25</v>
      </c>
      <c r="C3" s="45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7"/>
    </row>
    <row r="4" spans="1:22" s="18" customFormat="1">
      <c r="A4" s="167"/>
      <c r="B4" s="16" t="s">
        <v>26</v>
      </c>
      <c r="C4" s="45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7"/>
    </row>
    <row r="5" spans="1:22" s="18" customFormat="1">
      <c r="A5" s="167"/>
      <c r="B5" s="16" t="s">
        <v>15</v>
      </c>
      <c r="C5" s="45"/>
      <c r="D5" s="46"/>
      <c r="E5" s="46"/>
      <c r="F5" s="46"/>
      <c r="G5" s="46"/>
      <c r="H5" s="46"/>
      <c r="I5" s="46"/>
      <c r="J5" s="46"/>
      <c r="K5" s="46"/>
      <c r="L5" s="46">
        <f>10*25%</f>
        <v>2.5</v>
      </c>
      <c r="M5" s="46">
        <v>3.5</v>
      </c>
      <c r="N5" s="46"/>
      <c r="O5" s="46"/>
      <c r="P5" s="46">
        <v>4.7</v>
      </c>
      <c r="Q5" s="46"/>
      <c r="R5" s="46"/>
      <c r="S5" s="46"/>
      <c r="T5" s="46"/>
      <c r="U5" s="46"/>
      <c r="V5" s="47"/>
    </row>
    <row r="6" spans="1:22" s="18" customFormat="1">
      <c r="A6" s="167"/>
      <c r="B6" s="16" t="s">
        <v>16</v>
      </c>
      <c r="C6" s="45"/>
      <c r="D6" s="46"/>
      <c r="E6" s="46"/>
      <c r="F6" s="46"/>
      <c r="G6" s="46"/>
      <c r="H6" s="46"/>
      <c r="I6" s="46">
        <f>10*11%</f>
        <v>1.1000000000000001</v>
      </c>
      <c r="J6" s="46"/>
      <c r="K6" s="46">
        <v>5.4</v>
      </c>
      <c r="L6" s="46"/>
      <c r="M6" s="46"/>
      <c r="N6" s="46">
        <v>2.5</v>
      </c>
      <c r="O6" s="46"/>
      <c r="P6" s="46"/>
      <c r="Q6" s="46">
        <v>14.5</v>
      </c>
      <c r="R6" s="46"/>
      <c r="S6" s="46"/>
      <c r="T6" s="46">
        <v>1.5</v>
      </c>
      <c r="U6" s="46">
        <v>1</v>
      </c>
      <c r="V6" s="47"/>
    </row>
    <row r="7" spans="1:22" s="18" customFormat="1">
      <c r="A7" s="167"/>
      <c r="B7" s="16" t="s">
        <v>17</v>
      </c>
      <c r="C7" s="45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7"/>
    </row>
    <row r="8" spans="1:22" s="17" customFormat="1">
      <c r="A8" s="166">
        <v>2022</v>
      </c>
      <c r="B8" s="15" t="s">
        <v>18</v>
      </c>
      <c r="C8" s="32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>
        <v>12</v>
      </c>
    </row>
    <row r="9" spans="1:22" s="17" customFormat="1">
      <c r="A9" s="166"/>
      <c r="B9" s="15" t="s">
        <v>19</v>
      </c>
      <c r="C9" s="32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>
        <v>25</v>
      </c>
      <c r="P9" s="33"/>
      <c r="Q9" s="33"/>
      <c r="R9" s="33"/>
      <c r="S9" s="33"/>
      <c r="T9" s="33"/>
      <c r="U9" s="33"/>
      <c r="V9" s="34"/>
    </row>
    <row r="10" spans="1:22" s="17" customFormat="1">
      <c r="A10" s="166"/>
      <c r="B10" s="15" t="s">
        <v>20</v>
      </c>
      <c r="C10" s="32"/>
      <c r="D10" s="33"/>
      <c r="E10" s="33">
        <f>10*12%</f>
        <v>1.2</v>
      </c>
      <c r="F10" s="33">
        <f>10*15%</f>
        <v>1.5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4"/>
    </row>
    <row r="11" spans="1:22" s="17" customFormat="1">
      <c r="A11" s="166"/>
      <c r="B11" s="15" t="s">
        <v>21</v>
      </c>
      <c r="C11" s="32">
        <v>0.75</v>
      </c>
      <c r="D11" s="33"/>
      <c r="E11" s="33"/>
      <c r="F11" s="33"/>
      <c r="G11" s="33">
        <f>10*10%</f>
        <v>1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>
        <f>10*1650%</f>
        <v>165</v>
      </c>
      <c r="T11" s="33"/>
      <c r="U11" s="33"/>
      <c r="V11" s="34"/>
    </row>
    <row r="12" spans="1:22" s="17" customFormat="1">
      <c r="A12" s="166"/>
      <c r="B12" s="15" t="s">
        <v>22</v>
      </c>
      <c r="C12" s="32"/>
      <c r="D12" s="33"/>
      <c r="E12" s="33"/>
      <c r="F12" s="33"/>
      <c r="G12" s="33"/>
      <c r="H12" s="33">
        <f>10*18%</f>
        <v>1.7999999999999998</v>
      </c>
      <c r="I12" s="33"/>
      <c r="J12" s="33"/>
      <c r="K12" s="33"/>
      <c r="L12" s="33"/>
      <c r="M12" s="33"/>
      <c r="N12" s="33"/>
      <c r="O12" s="33"/>
      <c r="P12" s="33"/>
      <c r="Q12" s="33"/>
      <c r="R12" s="33">
        <f>10*800%</f>
        <v>80</v>
      </c>
      <c r="S12" s="33"/>
      <c r="T12" s="33"/>
      <c r="U12" s="33"/>
      <c r="V12" s="34"/>
    </row>
    <row r="13" spans="1:22" s="17" customFormat="1">
      <c r="A13" s="166"/>
      <c r="B13" s="15" t="s">
        <v>23</v>
      </c>
      <c r="C13" s="32"/>
      <c r="D13" s="33">
        <f>10*12%</f>
        <v>1.2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</row>
    <row r="14" spans="1:22" s="17" customFormat="1">
      <c r="A14" s="166"/>
      <c r="B14" s="15" t="s">
        <v>24</v>
      </c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</row>
    <row r="15" spans="1:22" s="17" customFormat="1">
      <c r="A15" s="166"/>
      <c r="B15" s="15" t="s">
        <v>25</v>
      </c>
      <c r="C15" s="32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4"/>
    </row>
    <row r="16" spans="1:22" s="17" customFormat="1">
      <c r="A16" s="166"/>
      <c r="B16" s="15" t="s">
        <v>26</v>
      </c>
      <c r="C16" s="3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>
        <v>6</v>
      </c>
      <c r="Q16" s="33"/>
      <c r="R16" s="33"/>
      <c r="S16" s="33"/>
      <c r="T16" s="33"/>
      <c r="U16" s="33"/>
      <c r="V16" s="34"/>
    </row>
    <row r="17" spans="1:22" s="17" customFormat="1">
      <c r="A17" s="166"/>
      <c r="B17" s="15" t="s">
        <v>15</v>
      </c>
      <c r="C17" s="32"/>
      <c r="D17" s="33"/>
      <c r="E17" s="33"/>
      <c r="F17" s="33"/>
      <c r="G17" s="33"/>
      <c r="H17" s="33"/>
      <c r="I17" s="33"/>
      <c r="J17" s="33"/>
      <c r="K17" s="33"/>
      <c r="L17" s="33"/>
      <c r="M17" s="33">
        <v>3.5</v>
      </c>
      <c r="N17" s="33"/>
      <c r="O17" s="33"/>
      <c r="P17" s="33"/>
      <c r="Q17" s="33"/>
      <c r="R17" s="33"/>
      <c r="S17" s="33"/>
      <c r="T17" s="33"/>
      <c r="U17" s="33">
        <v>1</v>
      </c>
      <c r="V17" s="34"/>
    </row>
    <row r="18" spans="1:22" s="17" customFormat="1">
      <c r="A18" s="166"/>
      <c r="B18" s="15" t="s">
        <v>16</v>
      </c>
      <c r="C18" s="32"/>
      <c r="D18" s="33"/>
      <c r="E18" s="33"/>
      <c r="F18" s="33"/>
      <c r="G18" s="33"/>
      <c r="H18" s="33"/>
      <c r="I18" s="33">
        <f>10*12%</f>
        <v>1.2</v>
      </c>
      <c r="J18" s="33">
        <v>0.15</v>
      </c>
      <c r="K18" s="33">
        <v>4.5</v>
      </c>
      <c r="L18" s="33">
        <v>1</v>
      </c>
      <c r="M18" s="33"/>
      <c r="N18" s="33"/>
      <c r="O18" s="33"/>
      <c r="P18" s="33"/>
      <c r="Q18" s="33">
        <v>14</v>
      </c>
      <c r="R18" s="33"/>
      <c r="S18" s="33"/>
      <c r="T18" s="33">
        <v>1.6</v>
      </c>
      <c r="U18" s="33"/>
      <c r="V18" s="34"/>
    </row>
    <row r="19" spans="1:22" s="17" customFormat="1">
      <c r="A19" s="166"/>
      <c r="B19" s="15" t="s">
        <v>17</v>
      </c>
      <c r="C19" s="3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>
        <v>0.5</v>
      </c>
      <c r="O19" s="33"/>
      <c r="P19" s="33"/>
      <c r="Q19" s="33"/>
      <c r="R19" s="33"/>
      <c r="S19" s="33"/>
      <c r="T19" s="33"/>
      <c r="U19" s="33"/>
      <c r="V19" s="34">
        <v>12</v>
      </c>
    </row>
    <row r="20" spans="1:22" s="18" customFormat="1">
      <c r="A20" s="167">
        <v>2023</v>
      </c>
      <c r="B20" s="16" t="s">
        <v>18</v>
      </c>
      <c r="C20" s="45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7"/>
    </row>
    <row r="21" spans="1:22" s="18" customFormat="1">
      <c r="A21" s="167"/>
      <c r="B21" s="16" t="s">
        <v>19</v>
      </c>
      <c r="C21" s="45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>
        <v>22</v>
      </c>
      <c r="P21" s="46"/>
      <c r="Q21" s="46"/>
      <c r="R21" s="46"/>
      <c r="S21" s="46"/>
      <c r="T21" s="46"/>
      <c r="U21" s="46"/>
      <c r="V21" s="47"/>
    </row>
    <row r="22" spans="1:22" s="18" customFormat="1">
      <c r="A22" s="167"/>
      <c r="B22" s="16" t="s">
        <v>20</v>
      </c>
      <c r="C22" s="45"/>
      <c r="D22" s="46"/>
      <c r="E22" s="46">
        <f>10*10%</f>
        <v>1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>
        <v>98</v>
      </c>
      <c r="T22" s="46"/>
      <c r="U22" s="46"/>
      <c r="V22" s="47"/>
    </row>
    <row r="23" spans="1:22" s="18" customFormat="1">
      <c r="A23" s="167"/>
      <c r="B23" s="16" t="s">
        <v>21</v>
      </c>
      <c r="C23" s="45"/>
      <c r="D23" s="46"/>
      <c r="E23" s="46"/>
      <c r="F23" s="46">
        <f>10*15%</f>
        <v>1.5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7"/>
    </row>
    <row r="24" spans="1:22" s="18" customFormat="1">
      <c r="A24" s="167"/>
      <c r="B24" s="16" t="s">
        <v>22</v>
      </c>
      <c r="C24" s="45">
        <v>0.75</v>
      </c>
      <c r="D24" s="46"/>
      <c r="E24" s="46"/>
      <c r="F24" s="46"/>
      <c r="G24" s="46">
        <f>10*10%</f>
        <v>1</v>
      </c>
      <c r="H24" s="46">
        <f>10*15%</f>
        <v>1.5</v>
      </c>
      <c r="I24" s="46"/>
      <c r="J24" s="46"/>
      <c r="K24" s="46"/>
      <c r="L24" s="46"/>
      <c r="M24" s="46"/>
      <c r="N24" s="46"/>
      <c r="O24" s="46"/>
      <c r="P24" s="46"/>
      <c r="Q24" s="46"/>
      <c r="R24" s="46">
        <v>75</v>
      </c>
      <c r="S24" s="46"/>
      <c r="T24" s="46"/>
      <c r="U24" s="46"/>
      <c r="V24" s="47"/>
    </row>
    <row r="25" spans="1:22" s="18" customFormat="1">
      <c r="A25" s="167"/>
      <c r="B25" s="16" t="s">
        <v>23</v>
      </c>
      <c r="C25" s="45"/>
      <c r="D25" s="46">
        <f>10*5%</f>
        <v>0.5</v>
      </c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7"/>
    </row>
    <row r="26" spans="1:22" s="18" customFormat="1">
      <c r="A26" s="167"/>
      <c r="B26" s="16" t="s">
        <v>24</v>
      </c>
      <c r="C26" s="45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7"/>
    </row>
    <row r="27" spans="1:22" s="18" customFormat="1">
      <c r="A27" s="167"/>
      <c r="B27" s="16" t="s">
        <v>25</v>
      </c>
      <c r="C27" s="45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  <row r="28" spans="1:22" s="18" customFormat="1">
      <c r="A28" s="167"/>
      <c r="B28" s="16" t="s">
        <v>26</v>
      </c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>
        <v>6</v>
      </c>
      <c r="Q28" s="46"/>
      <c r="R28" s="46"/>
      <c r="S28" s="46"/>
      <c r="T28" s="46"/>
      <c r="U28" s="46"/>
      <c r="V28" s="47"/>
    </row>
    <row r="29" spans="1:22" s="18" customFormat="1">
      <c r="A29" s="167"/>
      <c r="B29" s="16" t="s">
        <v>15</v>
      </c>
      <c r="C29" s="45"/>
      <c r="D29" s="46"/>
      <c r="E29" s="46"/>
      <c r="F29" s="46"/>
      <c r="G29" s="46"/>
      <c r="H29" s="46"/>
      <c r="I29" s="46"/>
      <c r="J29" s="46"/>
      <c r="K29" s="46"/>
      <c r="L29" s="46"/>
      <c r="M29" s="46">
        <v>3.5</v>
      </c>
      <c r="N29" s="46"/>
      <c r="O29" s="46"/>
      <c r="P29" s="46"/>
      <c r="Q29" s="46"/>
      <c r="R29" s="46"/>
      <c r="S29" s="46"/>
      <c r="T29" s="46"/>
      <c r="U29" s="46">
        <v>1.5</v>
      </c>
      <c r="V29" s="47"/>
    </row>
    <row r="30" spans="1:22" s="18" customFormat="1">
      <c r="A30" s="167"/>
      <c r="B30" s="16" t="s">
        <v>16</v>
      </c>
      <c r="C30" s="45"/>
      <c r="D30" s="46"/>
      <c r="E30" s="46"/>
      <c r="F30" s="46"/>
      <c r="G30" s="46"/>
      <c r="H30" s="46"/>
      <c r="I30" s="46">
        <f>10*10%</f>
        <v>1</v>
      </c>
      <c r="J30" s="46">
        <v>0.125</v>
      </c>
      <c r="K30" s="46">
        <v>6</v>
      </c>
      <c r="L30" s="46">
        <v>2</v>
      </c>
      <c r="M30" s="46"/>
      <c r="N30" s="46"/>
      <c r="O30" s="46"/>
      <c r="P30" s="46"/>
      <c r="Q30" s="46">
        <v>6.25</v>
      </c>
      <c r="R30" s="46"/>
      <c r="S30" s="46"/>
      <c r="T30" s="46">
        <v>1</v>
      </c>
      <c r="U30" s="46"/>
      <c r="V30" s="47"/>
    </row>
    <row r="31" spans="1:22" s="18" customFormat="1">
      <c r="A31" s="167"/>
      <c r="B31" s="16" t="s">
        <v>17</v>
      </c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>
        <v>0.5</v>
      </c>
      <c r="O31" s="46"/>
      <c r="P31" s="46"/>
      <c r="Q31" s="46"/>
      <c r="R31" s="46"/>
      <c r="S31" s="46"/>
      <c r="T31" s="46"/>
      <c r="U31" s="46"/>
      <c r="V31" s="47">
        <v>13</v>
      </c>
    </row>
    <row r="32" spans="1:22" s="17" customFormat="1">
      <c r="A32" s="166">
        <v>2024</v>
      </c>
      <c r="B32" s="15" t="s">
        <v>18</v>
      </c>
      <c r="C32" s="32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4"/>
    </row>
    <row r="33" spans="1:22" s="17" customFormat="1">
      <c r="A33" s="166"/>
      <c r="B33" s="15" t="s">
        <v>19</v>
      </c>
      <c r="C33" s="32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>
        <v>12.5</v>
      </c>
      <c r="P33" s="33"/>
      <c r="Q33" s="33"/>
      <c r="R33" s="33"/>
      <c r="S33" s="33"/>
      <c r="T33" s="33"/>
      <c r="U33" s="33"/>
      <c r="V33" s="34"/>
    </row>
    <row r="34" spans="1:22" s="17" customFormat="1">
      <c r="A34" s="166"/>
      <c r="B34" s="15" t="s">
        <v>20</v>
      </c>
      <c r="C34" s="32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</row>
    <row r="35" spans="1:22" s="17" customFormat="1">
      <c r="A35" s="166"/>
      <c r="B35" s="15" t="s">
        <v>21</v>
      </c>
      <c r="C35" s="32"/>
      <c r="D35" s="33"/>
      <c r="E35" s="33">
        <f>10*5%</f>
        <v>0.5</v>
      </c>
      <c r="F35" s="33">
        <f>10*15%</f>
        <v>1.5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>
        <v>55</v>
      </c>
      <c r="T35" s="33"/>
      <c r="U35" s="33"/>
      <c r="V35" s="34"/>
    </row>
    <row r="36" spans="1:22" s="17" customFormat="1">
      <c r="A36" s="166"/>
      <c r="B36" s="15" t="s">
        <v>22</v>
      </c>
      <c r="C36" s="32">
        <v>1</v>
      </c>
      <c r="D36" s="33"/>
      <c r="E36" s="33"/>
      <c r="F36" s="33"/>
      <c r="G36" s="33">
        <f>10*10%</f>
        <v>1</v>
      </c>
      <c r="H36" s="33">
        <f>10*12%</f>
        <v>1.2</v>
      </c>
      <c r="I36" s="33"/>
      <c r="J36" s="33"/>
      <c r="K36" s="33"/>
      <c r="L36" s="33"/>
      <c r="M36" s="33"/>
      <c r="N36" s="33"/>
      <c r="O36" s="33"/>
      <c r="P36" s="33"/>
      <c r="Q36" s="33"/>
      <c r="R36" s="33">
        <v>20</v>
      </c>
      <c r="S36" s="33"/>
      <c r="T36" s="33"/>
      <c r="U36" s="33"/>
      <c r="V36" s="34"/>
    </row>
    <row r="37" spans="1:22" s="17" customFormat="1">
      <c r="A37" s="166"/>
      <c r="B37" s="15" t="s">
        <v>23</v>
      </c>
      <c r="C37" s="32"/>
      <c r="D37" s="33">
        <f>10*12%</f>
        <v>1.2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4"/>
    </row>
    <row r="38" spans="1:22" s="17" customFormat="1">
      <c r="A38" s="166"/>
      <c r="B38" s="15" t="s">
        <v>24</v>
      </c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4"/>
    </row>
    <row r="39" spans="1:22" s="17" customFormat="1">
      <c r="A39" s="166"/>
      <c r="B39" s="15" t="s">
        <v>25</v>
      </c>
      <c r="C39" s="32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4"/>
    </row>
    <row r="40" spans="1:22" s="17" customFormat="1">
      <c r="A40" s="166"/>
      <c r="B40" s="15" t="s">
        <v>26</v>
      </c>
      <c r="C40" s="32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>
        <v>1</v>
      </c>
      <c r="O40" s="33"/>
      <c r="P40" s="33"/>
      <c r="Q40" s="33"/>
      <c r="R40" s="33"/>
      <c r="S40" s="33"/>
      <c r="T40" s="33"/>
      <c r="U40" s="33"/>
      <c r="V40" s="34"/>
    </row>
    <row r="41" spans="1:22" s="17" customFormat="1">
      <c r="A41" s="166"/>
      <c r="B41" s="15" t="s">
        <v>15</v>
      </c>
      <c r="C41" s="32"/>
      <c r="D41" s="33"/>
      <c r="E41" s="33"/>
      <c r="F41" s="33"/>
      <c r="G41" s="33"/>
      <c r="H41" s="33"/>
      <c r="I41" s="33"/>
      <c r="J41" s="33"/>
      <c r="K41" s="33"/>
      <c r="L41" s="33"/>
      <c r="M41" s="33">
        <v>3.5</v>
      </c>
      <c r="N41" s="33"/>
      <c r="O41" s="33"/>
      <c r="P41" s="33">
        <v>6.3</v>
      </c>
      <c r="Q41" s="33">
        <v>9.1999999999999993</v>
      </c>
      <c r="R41" s="33"/>
      <c r="S41" s="33"/>
      <c r="T41" s="33"/>
      <c r="U41" s="33"/>
      <c r="V41" s="34"/>
    </row>
    <row r="42" spans="1:22" s="17" customFormat="1">
      <c r="A42" s="166"/>
      <c r="B42" s="15" t="s">
        <v>16</v>
      </c>
      <c r="C42" s="32"/>
      <c r="D42" s="33"/>
      <c r="E42" s="33"/>
      <c r="F42" s="33"/>
      <c r="G42" s="33"/>
      <c r="H42" s="33"/>
      <c r="I42" s="33">
        <f>10*10%</f>
        <v>1</v>
      </c>
      <c r="J42" s="33"/>
      <c r="K42" s="33">
        <v>1</v>
      </c>
      <c r="L42" s="33">
        <v>2.5</v>
      </c>
      <c r="M42" s="33"/>
      <c r="N42" s="33"/>
      <c r="O42" s="33"/>
      <c r="P42" s="33"/>
      <c r="Q42" s="33"/>
      <c r="R42" s="33"/>
      <c r="S42" s="33"/>
      <c r="T42" s="33">
        <v>0.5</v>
      </c>
      <c r="U42" s="33">
        <v>1</v>
      </c>
      <c r="V42" s="34"/>
    </row>
    <row r="43" spans="1:22" s="17" customFormat="1">
      <c r="A43" s="166"/>
      <c r="B43" s="15" t="s">
        <v>17</v>
      </c>
      <c r="C43" s="32"/>
      <c r="D43" s="33"/>
      <c r="E43" s="33"/>
      <c r="F43" s="33"/>
      <c r="G43" s="33"/>
      <c r="H43" s="33"/>
      <c r="I43" s="33"/>
      <c r="J43" s="33">
        <v>1</v>
      </c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4">
        <v>15</v>
      </c>
    </row>
    <row r="44" spans="1:22" s="18" customFormat="1">
      <c r="A44" s="167">
        <v>2025</v>
      </c>
      <c r="B44" s="16" t="s">
        <v>18</v>
      </c>
      <c r="C44" s="45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7"/>
    </row>
    <row r="45" spans="1:22" s="18" customFormat="1">
      <c r="A45" s="167"/>
      <c r="B45" s="16" t="s">
        <v>19</v>
      </c>
      <c r="C45" s="45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>
        <v>33</v>
      </c>
      <c r="P45" s="46"/>
      <c r="Q45" s="46"/>
      <c r="R45" s="46"/>
      <c r="S45" s="46"/>
      <c r="T45" s="46"/>
      <c r="U45" s="46"/>
      <c r="V45" s="47"/>
    </row>
    <row r="46" spans="1:22" s="18" customFormat="1">
      <c r="A46" s="167"/>
      <c r="B46" s="16" t="s">
        <v>20</v>
      </c>
      <c r="C46" s="45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7"/>
    </row>
    <row r="47" spans="1:22" s="18" customFormat="1">
      <c r="A47" s="167"/>
      <c r="B47" s="16" t="s">
        <v>21</v>
      </c>
      <c r="C47" s="45"/>
      <c r="D47" s="46"/>
      <c r="E47" s="46"/>
      <c r="F47" s="46"/>
      <c r="G47" s="46">
        <f>10*10%</f>
        <v>1</v>
      </c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>
        <v>333</v>
      </c>
      <c r="T47" s="46"/>
      <c r="U47" s="46"/>
      <c r="V47" s="47"/>
    </row>
    <row r="48" spans="1:22" s="18" customFormat="1">
      <c r="A48" s="167"/>
      <c r="B48" s="16" t="s">
        <v>22</v>
      </c>
      <c r="C48" s="45">
        <v>1.25</v>
      </c>
      <c r="D48" s="46">
        <f>10*13%</f>
        <v>1.3</v>
      </c>
      <c r="E48" s="46">
        <f>10*5%</f>
        <v>0.5</v>
      </c>
      <c r="F48" s="46">
        <f>10*15%</f>
        <v>1.5</v>
      </c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>
        <f>10*3840%</f>
        <v>384</v>
      </c>
      <c r="S48" s="46"/>
      <c r="T48" s="46"/>
      <c r="U48" s="46"/>
      <c r="V48" s="47"/>
    </row>
    <row r="49" spans="1:22" s="18" customFormat="1">
      <c r="A49" s="167"/>
      <c r="B49" s="16" t="s">
        <v>23</v>
      </c>
      <c r="C49" s="45"/>
      <c r="D49" s="46"/>
      <c r="E49" s="46"/>
      <c r="F49" s="46"/>
      <c r="G49" s="46"/>
      <c r="H49" s="46">
        <f>10*10%</f>
        <v>1</v>
      </c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7"/>
    </row>
    <row r="50" spans="1:22" s="18" customFormat="1">
      <c r="A50" s="167"/>
      <c r="B50" s="16" t="s">
        <v>24</v>
      </c>
      <c r="C50" s="45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7"/>
    </row>
    <row r="51" spans="1:22" s="18" customFormat="1">
      <c r="A51" s="167"/>
      <c r="B51" s="16" t="s">
        <v>25</v>
      </c>
      <c r="C51" s="45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7"/>
    </row>
    <row r="52" spans="1:22" s="18" customFormat="1">
      <c r="A52" s="167"/>
      <c r="B52" s="16" t="s">
        <v>26</v>
      </c>
      <c r="C52" s="45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7"/>
    </row>
    <row r="53" spans="1:22" s="18" customFormat="1">
      <c r="A53" s="167"/>
      <c r="B53" s="16" t="s">
        <v>15</v>
      </c>
      <c r="C53" s="45"/>
      <c r="D53" s="46"/>
      <c r="E53" s="46"/>
      <c r="F53" s="46"/>
      <c r="G53" s="46"/>
      <c r="H53" s="46"/>
      <c r="I53" s="46"/>
      <c r="J53" s="46"/>
      <c r="K53" s="46"/>
      <c r="L53" s="46"/>
      <c r="M53" s="46">
        <v>2.5</v>
      </c>
      <c r="N53" s="46"/>
      <c r="O53" s="46"/>
      <c r="P53" s="46">
        <v>6.4</v>
      </c>
      <c r="Q53" s="46"/>
      <c r="R53" s="46"/>
      <c r="S53" s="46"/>
      <c r="T53" s="46"/>
      <c r="U53" s="46"/>
      <c r="V53" s="47"/>
    </row>
    <row r="54" spans="1:22" s="18" customFormat="1">
      <c r="A54" s="167"/>
      <c r="B54" s="16" t="s">
        <v>16</v>
      </c>
      <c r="C54" s="45"/>
      <c r="D54" s="46"/>
      <c r="E54" s="46"/>
      <c r="F54" s="46"/>
      <c r="G54" s="46"/>
      <c r="H54" s="46"/>
      <c r="I54" s="46">
        <f>10*11%</f>
        <v>1.1000000000000001</v>
      </c>
      <c r="J54" s="46">
        <v>1.4</v>
      </c>
      <c r="K54" s="46">
        <v>3</v>
      </c>
      <c r="L54" s="46">
        <v>1.2</v>
      </c>
      <c r="M54" s="46"/>
      <c r="N54" s="46">
        <v>1</v>
      </c>
      <c r="O54" s="46"/>
      <c r="P54" s="46"/>
      <c r="Q54" s="46">
        <v>5.5</v>
      </c>
      <c r="R54" s="46"/>
      <c r="S54" s="46"/>
      <c r="T54" s="46">
        <v>1</v>
      </c>
      <c r="U54" s="46">
        <v>1</v>
      </c>
      <c r="V54" s="47"/>
    </row>
    <row r="55" spans="1:22" s="18" customFormat="1">
      <c r="A55" s="167"/>
      <c r="B55" s="16" t="s">
        <v>17</v>
      </c>
      <c r="C55" s="45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7">
        <v>18</v>
      </c>
    </row>
    <row r="56" spans="1:22" s="17" customFormat="1">
      <c r="A56" s="166">
        <v>2026</v>
      </c>
      <c r="B56" s="15" t="s">
        <v>18</v>
      </c>
      <c r="C56" s="32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</row>
    <row r="57" spans="1:22" s="17" customFormat="1">
      <c r="A57" s="166"/>
      <c r="B57" s="15" t="s">
        <v>19</v>
      </c>
      <c r="C57" s="32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4"/>
    </row>
    <row r="58" spans="1:22" s="17" customFormat="1">
      <c r="A58" s="166"/>
      <c r="B58" s="15" t="s">
        <v>20</v>
      </c>
      <c r="C58" s="32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>
        <v>21.5</v>
      </c>
      <c r="P58" s="33"/>
      <c r="Q58" s="33"/>
      <c r="R58" s="33"/>
      <c r="S58" s="33"/>
      <c r="T58" s="33"/>
      <c r="U58" s="33"/>
      <c r="V58" s="34"/>
    </row>
    <row r="59" spans="1:22" s="17" customFormat="1">
      <c r="A59" s="166"/>
      <c r="B59" s="15" t="s">
        <v>21</v>
      </c>
      <c r="C59" s="32"/>
      <c r="D59" s="33"/>
      <c r="E59" s="33"/>
      <c r="F59" s="33"/>
      <c r="G59" s="33">
        <f>10*10%</f>
        <v>1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4"/>
    </row>
    <row r="60" spans="1:22" s="17" customFormat="1">
      <c r="A60" s="166"/>
      <c r="B60" s="15" t="s">
        <v>22</v>
      </c>
      <c r="C60" s="32">
        <v>1.5</v>
      </c>
      <c r="D60" s="33">
        <f>10*17%</f>
        <v>1.7000000000000002</v>
      </c>
      <c r="E60" s="33"/>
      <c r="F60" s="33"/>
      <c r="G60" s="33"/>
      <c r="H60" s="33">
        <f>10*14%</f>
        <v>1.4000000000000001</v>
      </c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4"/>
    </row>
    <row r="61" spans="1:22" s="17" customFormat="1">
      <c r="A61" s="166"/>
      <c r="B61" s="15" t="s">
        <v>23</v>
      </c>
      <c r="C61" s="32"/>
      <c r="D61" s="33"/>
      <c r="E61" s="33">
        <f>10*5%</f>
        <v>0.5</v>
      </c>
      <c r="F61" s="33">
        <f>10*15%</f>
        <v>1.5</v>
      </c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>
        <f>10*2075%</f>
        <v>207.5</v>
      </c>
      <c r="S61" s="33">
        <v>173</v>
      </c>
      <c r="T61" s="33"/>
      <c r="U61" s="33"/>
      <c r="V61" s="34"/>
    </row>
    <row r="62" spans="1:22" s="17" customFormat="1">
      <c r="A62" s="166"/>
      <c r="B62" s="15" t="s">
        <v>24</v>
      </c>
      <c r="C62" s="32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</row>
    <row r="63" spans="1:22" s="17" customFormat="1">
      <c r="A63" s="166"/>
      <c r="B63" s="15" t="s">
        <v>25</v>
      </c>
      <c r="C63" s="32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4"/>
    </row>
  </sheetData>
  <mergeCells count="11">
    <mergeCell ref="A56:A63"/>
    <mergeCell ref="A3:A7"/>
    <mergeCell ref="A8:A19"/>
    <mergeCell ref="A20:A31"/>
    <mergeCell ref="A32:A43"/>
    <mergeCell ref="A44:A55"/>
    <mergeCell ref="C1:D1"/>
    <mergeCell ref="G1:H1"/>
    <mergeCell ref="E1:F1"/>
    <mergeCell ref="I1:K1"/>
    <mergeCell ref="P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3D42-9322-422D-9774-F652D74CC432}">
  <dimension ref="A1:W83"/>
  <sheetViews>
    <sheetView zoomScale="44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Id="1" sqref="A2:B2 A1:XFD1"/>
    </sheetView>
  </sheetViews>
  <sheetFormatPr defaultColWidth="8.81640625" defaultRowHeight="14.5"/>
  <cols>
    <col min="2" max="2" width="10.81640625" bestFit="1" customWidth="1"/>
    <col min="3" max="3" width="15" style="30" bestFit="1" customWidth="1"/>
    <col min="4" max="5" width="7.54296875" style="31" bestFit="1" customWidth="1"/>
    <col min="6" max="6" width="8.36328125" style="31" bestFit="1" customWidth="1"/>
    <col min="7" max="7" width="17.6328125" style="31" bestFit="1" customWidth="1"/>
    <col min="8" max="8" width="16.1796875" style="31" bestFit="1" customWidth="1"/>
    <col min="9" max="9" width="12.90625" style="31" bestFit="1" customWidth="1"/>
    <col min="10" max="10" width="15.36328125" style="31" bestFit="1" customWidth="1"/>
    <col min="11" max="11" width="12.453125" style="31" bestFit="1" customWidth="1"/>
    <col min="12" max="12" width="18.26953125" style="31" bestFit="1" customWidth="1"/>
    <col min="13" max="13" width="14.7265625" style="31" bestFit="1" customWidth="1"/>
    <col min="14" max="14" width="15.54296875" style="31" bestFit="1" customWidth="1"/>
    <col min="15" max="15" width="24.453125" style="31" bestFit="1" customWidth="1"/>
    <col min="16" max="17" width="11.26953125" style="31" bestFit="1" customWidth="1"/>
    <col min="18" max="18" width="11" style="31" bestFit="1" customWidth="1"/>
    <col min="19" max="19" width="17.26953125" style="31" bestFit="1" customWidth="1"/>
    <col min="20" max="20" width="15.36328125" style="31" bestFit="1" customWidth="1"/>
    <col min="21" max="21" width="12.08984375" style="31" bestFit="1" customWidth="1"/>
    <col min="22" max="22" width="17.453125" style="31" bestFit="1" customWidth="1"/>
    <col min="23" max="23" width="8.81640625" style="21" customWidth="1"/>
  </cols>
  <sheetData>
    <row r="1" spans="1:23" s="152" customFormat="1">
      <c r="A1" s="151" t="s">
        <v>37</v>
      </c>
      <c r="B1" s="151"/>
      <c r="C1" s="168" t="s">
        <v>12</v>
      </c>
      <c r="D1" s="169"/>
      <c r="E1" s="169" t="s">
        <v>108</v>
      </c>
      <c r="F1" s="169"/>
      <c r="G1" s="169" t="s">
        <v>32</v>
      </c>
      <c r="H1" s="169"/>
      <c r="I1" s="169" t="s">
        <v>30</v>
      </c>
      <c r="J1" s="169"/>
      <c r="K1" s="169"/>
      <c r="L1" s="153" t="s">
        <v>115</v>
      </c>
      <c r="M1" s="153" t="s">
        <v>35</v>
      </c>
      <c r="N1" s="153" t="s">
        <v>27</v>
      </c>
      <c r="O1" s="153" t="s">
        <v>34</v>
      </c>
      <c r="P1" s="169" t="s">
        <v>33</v>
      </c>
      <c r="Q1" s="169"/>
      <c r="R1" s="169"/>
      <c r="S1" s="169"/>
      <c r="T1" s="153" t="s">
        <v>29</v>
      </c>
      <c r="U1" s="153" t="s">
        <v>123</v>
      </c>
      <c r="V1" s="153" t="s">
        <v>125</v>
      </c>
      <c r="W1" s="154"/>
    </row>
    <row r="2" spans="1:23">
      <c r="A2" s="151" t="s">
        <v>14</v>
      </c>
      <c r="B2" s="151" t="s">
        <v>13</v>
      </c>
      <c r="C2" s="22" t="s">
        <v>127</v>
      </c>
      <c r="D2" s="23" t="s">
        <v>105</v>
      </c>
      <c r="E2" s="23" t="s">
        <v>106</v>
      </c>
      <c r="F2" s="23" t="s">
        <v>107</v>
      </c>
      <c r="G2" s="23" t="s">
        <v>109</v>
      </c>
      <c r="H2" s="23" t="s">
        <v>110</v>
      </c>
      <c r="I2" s="23" t="s">
        <v>111</v>
      </c>
      <c r="J2" s="23" t="s">
        <v>112</v>
      </c>
      <c r="K2" s="23" t="s">
        <v>113</v>
      </c>
      <c r="L2" s="23" t="s">
        <v>114</v>
      </c>
      <c r="M2" s="23" t="s">
        <v>116</v>
      </c>
      <c r="N2" s="23" t="s">
        <v>117</v>
      </c>
      <c r="O2" s="23" t="s">
        <v>36</v>
      </c>
      <c r="P2" s="23" t="s">
        <v>118</v>
      </c>
      <c r="Q2" s="23" t="s">
        <v>119</v>
      </c>
      <c r="R2" s="23" t="s">
        <v>120</v>
      </c>
      <c r="S2" s="23" t="s">
        <v>121</v>
      </c>
      <c r="T2" s="23" t="s">
        <v>122</v>
      </c>
      <c r="U2" s="23" t="s">
        <v>124</v>
      </c>
      <c r="V2" s="23" t="s">
        <v>126</v>
      </c>
    </row>
    <row r="3" spans="1:23" s="18" customFormat="1">
      <c r="A3" s="167">
        <v>2021</v>
      </c>
      <c r="B3" s="16" t="s">
        <v>25</v>
      </c>
      <c r="C3" s="48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50"/>
    </row>
    <row r="4" spans="1:23" s="18" customFormat="1">
      <c r="A4" s="167"/>
      <c r="B4" s="16" t="s">
        <v>26</v>
      </c>
      <c r="C4" s="48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50"/>
    </row>
    <row r="5" spans="1:23" s="18" customFormat="1">
      <c r="A5" s="167"/>
      <c r="B5" s="16" t="s">
        <v>15</v>
      </c>
      <c r="C5" s="48"/>
      <c r="D5" s="49"/>
      <c r="E5" s="49"/>
      <c r="F5" s="49"/>
      <c r="G5" s="49"/>
      <c r="H5" s="49"/>
      <c r="I5" s="49"/>
      <c r="J5" s="49"/>
      <c r="K5" s="49"/>
      <c r="L5" s="49"/>
      <c r="M5" s="49">
        <v>0.05</v>
      </c>
      <c r="N5" s="49"/>
      <c r="O5" s="49"/>
      <c r="P5" s="49"/>
      <c r="Q5" s="49"/>
      <c r="R5" s="49"/>
      <c r="S5" s="49"/>
      <c r="T5" s="49"/>
      <c r="U5" s="49"/>
      <c r="V5" s="49"/>
      <c r="W5" s="50"/>
    </row>
    <row r="6" spans="1:23" s="18" customFormat="1">
      <c r="A6" s="167"/>
      <c r="B6" s="16" t="s">
        <v>16</v>
      </c>
      <c r="C6" s="48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>
        <v>0.1</v>
      </c>
      <c r="R6" s="49"/>
      <c r="S6" s="49"/>
      <c r="T6" s="49"/>
      <c r="U6" s="49"/>
      <c r="V6" s="49"/>
      <c r="W6" s="50"/>
    </row>
    <row r="7" spans="1:23" s="18" customFormat="1">
      <c r="A7" s="167"/>
      <c r="B7" s="16" t="s">
        <v>17</v>
      </c>
      <c r="C7" s="48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50"/>
    </row>
    <row r="8" spans="1:23" s="17" customFormat="1">
      <c r="A8" s="166">
        <v>2022</v>
      </c>
      <c r="B8" s="15" t="s">
        <v>18</v>
      </c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</row>
    <row r="9" spans="1:23" s="17" customFormat="1">
      <c r="A9" s="166"/>
      <c r="B9" s="15" t="s">
        <v>19</v>
      </c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6"/>
    </row>
    <row r="10" spans="1:23" s="17" customFormat="1">
      <c r="A10" s="166"/>
      <c r="B10" s="15" t="s">
        <v>20</v>
      </c>
      <c r="C10" s="24"/>
      <c r="D10" s="25"/>
      <c r="E10" s="25"/>
      <c r="F10" s="25">
        <v>0.1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</row>
    <row r="11" spans="1:23" s="17" customFormat="1">
      <c r="A11" s="166"/>
      <c r="B11" s="15" t="s">
        <v>21</v>
      </c>
      <c r="C11" s="24">
        <v>7.4999999999999997E-2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6"/>
    </row>
    <row r="12" spans="1:23" s="17" customFormat="1">
      <c r="A12" s="166"/>
      <c r="B12" s="15" t="s">
        <v>22</v>
      </c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</row>
    <row r="13" spans="1:23" s="17" customFormat="1">
      <c r="A13" s="166"/>
      <c r="B13" s="15" t="s">
        <v>23</v>
      </c>
      <c r="C13" s="24"/>
      <c r="D13" s="25">
        <v>0.04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6"/>
    </row>
    <row r="14" spans="1:23" s="17" customFormat="1">
      <c r="A14" s="166"/>
      <c r="B14" s="15" t="s">
        <v>24</v>
      </c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</row>
    <row r="15" spans="1:23" s="17" customFormat="1">
      <c r="A15" s="166"/>
      <c r="B15" s="15" t="s">
        <v>25</v>
      </c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6"/>
    </row>
    <row r="16" spans="1:23" s="17" customFormat="1">
      <c r="A16" s="166"/>
      <c r="B16" s="15" t="s">
        <v>26</v>
      </c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</row>
    <row r="17" spans="1:23" s="17" customFormat="1">
      <c r="A17" s="166"/>
      <c r="B17" s="15" t="s">
        <v>15</v>
      </c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>
        <v>0.1</v>
      </c>
      <c r="N17" s="25"/>
      <c r="O17" s="25"/>
      <c r="P17" s="25"/>
      <c r="Q17" s="25"/>
      <c r="R17" s="25"/>
      <c r="S17" s="25"/>
      <c r="T17" s="25"/>
      <c r="U17" s="25"/>
      <c r="V17" s="25"/>
      <c r="W17" s="26"/>
    </row>
    <row r="18" spans="1:23" s="17" customFormat="1">
      <c r="A18" s="166"/>
      <c r="B18" s="15" t="s">
        <v>16</v>
      </c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>
        <v>7.0000000000000007E-2</v>
      </c>
      <c r="R18" s="25"/>
      <c r="S18" s="25"/>
      <c r="T18" s="25"/>
      <c r="U18" s="25"/>
      <c r="V18" s="25"/>
      <c r="W18" s="26"/>
    </row>
    <row r="19" spans="1:23" s="17" customFormat="1">
      <c r="A19" s="166"/>
      <c r="B19" s="15" t="s">
        <v>17</v>
      </c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>
        <v>0.05</v>
      </c>
      <c r="O19" s="25"/>
      <c r="P19" s="25"/>
      <c r="Q19" s="25"/>
      <c r="R19" s="25"/>
      <c r="S19" s="25"/>
      <c r="T19" s="25"/>
      <c r="U19" s="25"/>
      <c r="V19" s="25"/>
      <c r="W19" s="26"/>
    </row>
    <row r="20" spans="1:23" s="18" customFormat="1">
      <c r="A20" s="167">
        <v>2023</v>
      </c>
      <c r="B20" s="16" t="s">
        <v>18</v>
      </c>
      <c r="C20" s="48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50"/>
    </row>
    <row r="21" spans="1:23" s="18" customFormat="1">
      <c r="A21" s="167"/>
      <c r="B21" s="16" t="s">
        <v>19</v>
      </c>
      <c r="C21" s="48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50"/>
    </row>
    <row r="22" spans="1:23" s="18" customFormat="1">
      <c r="A22" s="167"/>
      <c r="B22" s="16" t="s">
        <v>20</v>
      </c>
      <c r="C22" s="48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51"/>
      <c r="O22" s="49"/>
      <c r="P22" s="49"/>
      <c r="Q22" s="49"/>
      <c r="R22" s="49"/>
      <c r="S22" s="49"/>
      <c r="T22" s="49"/>
      <c r="U22" s="49"/>
      <c r="V22" s="49"/>
      <c r="W22" s="50"/>
    </row>
    <row r="23" spans="1:23" s="18" customFormat="1">
      <c r="A23" s="167"/>
      <c r="B23" s="16" t="s">
        <v>21</v>
      </c>
      <c r="C23" s="48"/>
      <c r="D23" s="49"/>
      <c r="E23" s="46"/>
      <c r="F23" s="49">
        <v>0.02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50"/>
    </row>
    <row r="24" spans="1:23" s="18" customFormat="1">
      <c r="A24" s="167"/>
      <c r="B24" s="16" t="s">
        <v>22</v>
      </c>
      <c r="C24" s="48">
        <v>7.4999999999999997E-2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50"/>
    </row>
    <row r="25" spans="1:23" s="18" customFormat="1">
      <c r="A25" s="167"/>
      <c r="B25" s="16" t="s">
        <v>23</v>
      </c>
      <c r="C25" s="48"/>
      <c r="D25" s="49">
        <v>0.05</v>
      </c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50"/>
    </row>
    <row r="26" spans="1:23" s="18" customFormat="1">
      <c r="A26" s="167"/>
      <c r="B26" s="16" t="s">
        <v>24</v>
      </c>
      <c r="C26" s="48"/>
      <c r="D26" s="49"/>
      <c r="E26" s="49"/>
      <c r="F26" s="49"/>
      <c r="G26" s="51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50"/>
    </row>
    <row r="27" spans="1:23" s="18" customFormat="1">
      <c r="A27" s="167"/>
      <c r="B27" s="16" t="s">
        <v>25</v>
      </c>
      <c r="C27" s="48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50"/>
    </row>
    <row r="28" spans="1:23" s="18" customFormat="1">
      <c r="A28" s="167"/>
      <c r="B28" s="16" t="s">
        <v>26</v>
      </c>
      <c r="C28" s="48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50"/>
    </row>
    <row r="29" spans="1:23" s="18" customFormat="1">
      <c r="A29" s="167"/>
      <c r="B29" s="16" t="s">
        <v>15</v>
      </c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>
        <v>0.1</v>
      </c>
      <c r="N29" s="49"/>
      <c r="O29" s="49"/>
      <c r="P29" s="49"/>
      <c r="Q29" s="49"/>
      <c r="R29" s="49"/>
      <c r="S29" s="49"/>
      <c r="T29" s="49"/>
      <c r="U29" s="49"/>
      <c r="V29" s="49"/>
      <c r="W29" s="50"/>
    </row>
    <row r="30" spans="1:23" s="18" customFormat="1">
      <c r="A30" s="167"/>
      <c r="B30" s="16" t="s">
        <v>16</v>
      </c>
      <c r="C30" s="48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50"/>
    </row>
    <row r="31" spans="1:23" s="18" customFormat="1">
      <c r="A31" s="167"/>
      <c r="B31" s="16" t="s">
        <v>17</v>
      </c>
      <c r="C31" s="48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>
        <v>0.05</v>
      </c>
      <c r="O31" s="49"/>
      <c r="P31" s="49"/>
      <c r="Q31" s="49"/>
      <c r="R31" s="49"/>
      <c r="S31" s="49"/>
      <c r="T31" s="49"/>
      <c r="U31" s="49"/>
      <c r="V31" s="49"/>
      <c r="W31" s="50"/>
    </row>
    <row r="32" spans="1:23" s="17" customFormat="1">
      <c r="A32" s="166">
        <v>2024</v>
      </c>
      <c r="B32" s="15" t="s">
        <v>18</v>
      </c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</row>
    <row r="33" spans="1:23" s="17" customFormat="1">
      <c r="A33" s="166"/>
      <c r="B33" s="15" t="s">
        <v>19</v>
      </c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6"/>
    </row>
    <row r="34" spans="1:23" s="17" customFormat="1">
      <c r="A34" s="166"/>
      <c r="B34" s="15" t="s">
        <v>20</v>
      </c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</row>
    <row r="35" spans="1:23" s="17" customFormat="1">
      <c r="A35" s="166"/>
      <c r="B35" s="15" t="s">
        <v>21</v>
      </c>
      <c r="C35" s="24"/>
      <c r="D35" s="25"/>
      <c r="E35" s="25">
        <v>0.05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6"/>
    </row>
    <row r="36" spans="1:23" s="17" customFormat="1">
      <c r="A36" s="166"/>
      <c r="B36" s="15" t="s">
        <v>22</v>
      </c>
      <c r="C36" s="24">
        <v>0.1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</row>
    <row r="37" spans="1:23" s="17" customFormat="1">
      <c r="A37" s="166"/>
      <c r="B37" s="15" t="s">
        <v>23</v>
      </c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6"/>
    </row>
    <row r="38" spans="1:23" s="17" customFormat="1">
      <c r="A38" s="166"/>
      <c r="B38" s="15" t="s">
        <v>24</v>
      </c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</row>
    <row r="39" spans="1:23" s="17" customFormat="1">
      <c r="A39" s="166"/>
      <c r="B39" s="15" t="s">
        <v>25</v>
      </c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6"/>
    </row>
    <row r="40" spans="1:23" s="17" customFormat="1">
      <c r="A40" s="166"/>
      <c r="B40" s="15" t="s">
        <v>26</v>
      </c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</row>
    <row r="41" spans="1:23" s="17" customFormat="1">
      <c r="A41" s="166"/>
      <c r="B41" s="15" t="s">
        <v>15</v>
      </c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>
        <v>0.1</v>
      </c>
      <c r="N41" s="25"/>
      <c r="O41" s="25"/>
      <c r="P41" s="25"/>
      <c r="Q41" s="25"/>
      <c r="R41" s="25"/>
      <c r="S41" s="25"/>
      <c r="T41" s="25"/>
      <c r="U41" s="25"/>
      <c r="V41" s="25"/>
      <c r="W41" s="26"/>
    </row>
    <row r="42" spans="1:23" s="17" customFormat="1">
      <c r="A42" s="166"/>
      <c r="B42" s="15" t="s">
        <v>16</v>
      </c>
      <c r="C42" s="24"/>
      <c r="D42" s="25"/>
      <c r="E42" s="25"/>
      <c r="F42" s="25"/>
      <c r="G42" s="25"/>
      <c r="H42" s="25"/>
      <c r="I42" s="25">
        <v>0.1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>
        <v>0.05</v>
      </c>
      <c r="U42" s="25"/>
      <c r="V42" s="25"/>
      <c r="W42" s="26"/>
    </row>
    <row r="43" spans="1:23" s="17" customFormat="1">
      <c r="A43" s="166"/>
      <c r="B43" s="15" t="s">
        <v>17</v>
      </c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6"/>
    </row>
    <row r="44" spans="1:23" s="18" customFormat="1">
      <c r="A44" s="167">
        <v>2025</v>
      </c>
      <c r="B44" s="16" t="s">
        <v>18</v>
      </c>
      <c r="C44" s="48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50"/>
    </row>
    <row r="45" spans="1:23" s="18" customFormat="1">
      <c r="A45" s="167"/>
      <c r="B45" s="16" t="s">
        <v>19</v>
      </c>
      <c r="C45" s="48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50"/>
    </row>
    <row r="46" spans="1:23" s="18" customFormat="1">
      <c r="A46" s="167"/>
      <c r="B46" s="16" t="s">
        <v>20</v>
      </c>
      <c r="C46" s="48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50"/>
    </row>
    <row r="47" spans="1:23" s="18" customFormat="1">
      <c r="A47" s="167"/>
      <c r="B47" s="16" t="s">
        <v>21</v>
      </c>
      <c r="C47" s="48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1"/>
      <c r="O47" s="49"/>
      <c r="P47" s="49"/>
      <c r="Q47" s="49"/>
      <c r="R47" s="49"/>
      <c r="S47" s="49"/>
      <c r="T47" s="49"/>
      <c r="U47" s="49"/>
      <c r="V47" s="49"/>
      <c r="W47" s="50"/>
    </row>
    <row r="48" spans="1:23" s="18" customFormat="1">
      <c r="A48" s="167"/>
      <c r="B48" s="16" t="s">
        <v>22</v>
      </c>
      <c r="C48" s="48">
        <v>0.125</v>
      </c>
      <c r="D48" s="49"/>
      <c r="E48" s="49">
        <v>0.05</v>
      </c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50"/>
    </row>
    <row r="49" spans="1:23" s="18" customFormat="1">
      <c r="A49" s="167"/>
      <c r="B49" s="16" t="s">
        <v>23</v>
      </c>
      <c r="C49" s="48"/>
      <c r="D49" s="49"/>
      <c r="E49" s="49"/>
      <c r="F49" s="49">
        <v>0.02</v>
      </c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50"/>
    </row>
    <row r="50" spans="1:23" s="18" customFormat="1">
      <c r="A50" s="167"/>
      <c r="B50" s="16" t="s">
        <v>24</v>
      </c>
      <c r="C50" s="48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50"/>
    </row>
    <row r="51" spans="1:23" s="18" customFormat="1">
      <c r="A51" s="167"/>
      <c r="B51" s="16" t="s">
        <v>25</v>
      </c>
      <c r="C51" s="48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50"/>
    </row>
    <row r="52" spans="1:23" s="18" customFormat="1">
      <c r="A52" s="167"/>
      <c r="B52" s="16" t="s">
        <v>26</v>
      </c>
      <c r="C52" s="48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50"/>
    </row>
    <row r="53" spans="1:23" s="18" customFormat="1">
      <c r="A53" s="167"/>
      <c r="B53" s="16" t="s">
        <v>15</v>
      </c>
      <c r="C53" s="48"/>
      <c r="D53" s="49"/>
      <c r="E53" s="49"/>
      <c r="F53" s="49"/>
      <c r="G53" s="49"/>
      <c r="H53" s="49"/>
      <c r="I53" s="49"/>
      <c r="J53" s="49"/>
      <c r="K53" s="49"/>
      <c r="L53" s="49"/>
      <c r="M53" s="49">
        <v>0.25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</row>
    <row r="54" spans="1:23" s="18" customFormat="1">
      <c r="A54" s="167"/>
      <c r="B54" s="16" t="s">
        <v>16</v>
      </c>
      <c r="C54" s="48"/>
      <c r="D54" s="49"/>
      <c r="E54" s="49"/>
      <c r="F54" s="49"/>
      <c r="G54" s="49"/>
      <c r="H54" s="49"/>
      <c r="I54" s="49">
        <v>0.05</v>
      </c>
      <c r="J54" s="49"/>
      <c r="K54" s="49"/>
      <c r="L54" s="49">
        <v>0.05</v>
      </c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50"/>
    </row>
    <row r="55" spans="1:23" s="18" customFormat="1">
      <c r="A55" s="167"/>
      <c r="B55" s="16" t="s">
        <v>17</v>
      </c>
      <c r="C55" s="48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50"/>
    </row>
    <row r="56" spans="1:23" s="17" customFormat="1">
      <c r="A56" s="166">
        <v>2026</v>
      </c>
      <c r="B56" s="15" t="s">
        <v>18</v>
      </c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6"/>
    </row>
    <row r="57" spans="1:23" s="17" customFormat="1">
      <c r="A57" s="166"/>
      <c r="B57" s="15" t="s">
        <v>19</v>
      </c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6"/>
    </row>
    <row r="58" spans="1:23" s="17" customFormat="1">
      <c r="A58" s="166"/>
      <c r="B58" s="15" t="s">
        <v>20</v>
      </c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6"/>
    </row>
    <row r="59" spans="1:23" s="17" customFormat="1">
      <c r="A59" s="166"/>
      <c r="B59" s="15" t="s">
        <v>21</v>
      </c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6"/>
    </row>
    <row r="60" spans="1:23" s="17" customFormat="1">
      <c r="A60" s="166"/>
      <c r="B60" s="15" t="s">
        <v>22</v>
      </c>
      <c r="C60" s="24">
        <v>0.15</v>
      </c>
      <c r="D60" s="25">
        <v>0.04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6"/>
    </row>
    <row r="61" spans="1:23" s="17" customFormat="1">
      <c r="A61" s="166"/>
      <c r="B61" s="15" t="s">
        <v>23</v>
      </c>
      <c r="C61" s="24"/>
      <c r="D61" s="25"/>
      <c r="E61" s="25">
        <v>0.05</v>
      </c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6"/>
    </row>
    <row r="62" spans="1:23" s="17" customFormat="1">
      <c r="A62" s="166"/>
      <c r="B62" s="15" t="s">
        <v>24</v>
      </c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6"/>
    </row>
    <row r="63" spans="1:23" s="17" customFormat="1">
      <c r="A63" s="166"/>
      <c r="B63" s="15" t="s">
        <v>25</v>
      </c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6"/>
    </row>
    <row r="64" spans="1:23">
      <c r="C64" s="27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9"/>
    </row>
    <row r="65" spans="3:23">
      <c r="C65" s="27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9"/>
    </row>
    <row r="66" spans="3:23">
      <c r="C66" s="27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9"/>
    </row>
    <row r="67" spans="3:23">
      <c r="C67" s="27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9"/>
    </row>
    <row r="68" spans="3:23">
      <c r="C68" s="27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9"/>
    </row>
    <row r="69" spans="3:23">
      <c r="C69" s="27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9"/>
    </row>
    <row r="70" spans="3:23">
      <c r="C70" s="27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9"/>
    </row>
    <row r="71" spans="3:23">
      <c r="C71" s="27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9"/>
    </row>
    <row r="72" spans="3:23">
      <c r="C72" s="27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9"/>
    </row>
    <row r="73" spans="3:23">
      <c r="C73" s="27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9"/>
    </row>
    <row r="74" spans="3:23">
      <c r="C74" s="27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9"/>
    </row>
    <row r="75" spans="3:23">
      <c r="C75" s="27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9"/>
    </row>
    <row r="76" spans="3:23">
      <c r="C76" s="27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9"/>
    </row>
    <row r="77" spans="3:23">
      <c r="C77" s="27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9"/>
    </row>
    <row r="78" spans="3:23">
      <c r="C78" s="27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9"/>
    </row>
    <row r="79" spans="3:23">
      <c r="C79" s="27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9"/>
    </row>
    <row r="80" spans="3:23">
      <c r="C80" s="27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9"/>
    </row>
    <row r="81" spans="3:23">
      <c r="C81" s="27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9"/>
    </row>
    <row r="82" spans="3:23">
      <c r="C82" s="27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9"/>
    </row>
    <row r="83" spans="3:23">
      <c r="C83" s="27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9"/>
    </row>
  </sheetData>
  <mergeCells count="11">
    <mergeCell ref="A56:A63"/>
    <mergeCell ref="A3:A7"/>
    <mergeCell ref="A8:A19"/>
    <mergeCell ref="A20:A31"/>
    <mergeCell ref="A32:A43"/>
    <mergeCell ref="A44:A55"/>
    <mergeCell ref="C1:D1"/>
    <mergeCell ref="G1:H1"/>
    <mergeCell ref="E1:F1"/>
    <mergeCell ref="I1:K1"/>
    <mergeCell ref="P1:S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47DE-8073-4365-990D-69523EC09CFD}">
  <dimension ref="A1:V63"/>
  <sheetViews>
    <sheetView zoomScale="66" zoomScaleNormal="6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Id="1" sqref="A2:B2 A1:XFD1"/>
    </sheetView>
  </sheetViews>
  <sheetFormatPr defaultColWidth="8.81640625" defaultRowHeight="14.5"/>
  <cols>
    <col min="2" max="2" width="10.81640625" bestFit="1" customWidth="1"/>
    <col min="3" max="3" width="9.453125" bestFit="1" customWidth="1"/>
    <col min="5" max="5" width="13.6328125" bestFit="1" customWidth="1"/>
    <col min="6" max="6" width="13.1796875" bestFit="1" customWidth="1"/>
    <col min="7" max="8" width="12.54296875" customWidth="1"/>
    <col min="9" max="9" width="9.81640625" bestFit="1" customWidth="1"/>
    <col min="10" max="10" width="11.81640625" customWidth="1"/>
    <col min="11" max="11" width="17.81640625" bestFit="1" customWidth="1"/>
    <col min="12" max="12" width="13.1796875" bestFit="1" customWidth="1"/>
    <col min="13" max="13" width="11.6328125" bestFit="1" customWidth="1"/>
    <col min="14" max="14" width="13.453125" bestFit="1" customWidth="1"/>
    <col min="15" max="15" width="18.08984375" bestFit="1" customWidth="1"/>
    <col min="16" max="16" width="15" bestFit="1" customWidth="1"/>
    <col min="17" max="17" width="10" bestFit="1" customWidth="1"/>
    <col min="18" max="18" width="19.1796875" bestFit="1" customWidth="1"/>
    <col min="19" max="19" width="18.81640625" bestFit="1" customWidth="1"/>
    <col min="20" max="20" width="11.08984375" bestFit="1" customWidth="1"/>
    <col min="21" max="21" width="10.36328125" customWidth="1"/>
    <col min="22" max="22" width="13" bestFit="1" customWidth="1"/>
  </cols>
  <sheetData>
    <row r="1" spans="1:22" s="152" customFormat="1">
      <c r="A1" s="151" t="s">
        <v>37</v>
      </c>
      <c r="B1" s="151"/>
      <c r="C1" s="165" t="s">
        <v>12</v>
      </c>
      <c r="D1" s="165"/>
      <c r="E1" s="165" t="s">
        <v>108</v>
      </c>
      <c r="F1" s="165"/>
      <c r="G1" s="165" t="s">
        <v>32</v>
      </c>
      <c r="H1" s="165"/>
      <c r="I1" s="165" t="s">
        <v>30</v>
      </c>
      <c r="J1" s="165"/>
      <c r="K1" s="165"/>
      <c r="L1" s="151" t="s">
        <v>115</v>
      </c>
      <c r="M1" s="151" t="s">
        <v>35</v>
      </c>
      <c r="N1" s="151" t="s">
        <v>27</v>
      </c>
      <c r="O1" s="151" t="s">
        <v>34</v>
      </c>
      <c r="P1" s="165" t="s">
        <v>33</v>
      </c>
      <c r="Q1" s="165"/>
      <c r="R1" s="165"/>
      <c r="S1" s="165"/>
      <c r="T1" s="151" t="s">
        <v>29</v>
      </c>
      <c r="U1" s="151" t="s">
        <v>123</v>
      </c>
      <c r="V1" s="151" t="s">
        <v>125</v>
      </c>
    </row>
    <row r="2" spans="1:22">
      <c r="A2" s="151" t="s">
        <v>14</v>
      </c>
      <c r="B2" s="151" t="s">
        <v>13</v>
      </c>
      <c r="C2" s="6" t="s">
        <v>127</v>
      </c>
      <c r="D2" s="6" t="s">
        <v>105</v>
      </c>
      <c r="E2" s="6" t="s">
        <v>106</v>
      </c>
      <c r="F2" s="6" t="s">
        <v>107</v>
      </c>
      <c r="G2" s="6" t="s">
        <v>109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116</v>
      </c>
      <c r="N2" s="6" t="s">
        <v>117</v>
      </c>
      <c r="O2" s="6" t="s">
        <v>36</v>
      </c>
      <c r="P2" s="6" t="s">
        <v>118</v>
      </c>
      <c r="Q2" s="6" t="s">
        <v>119</v>
      </c>
      <c r="R2" s="6" t="s">
        <v>120</v>
      </c>
      <c r="S2" s="6" t="s">
        <v>121</v>
      </c>
      <c r="T2" s="6" t="s">
        <v>122</v>
      </c>
      <c r="U2" s="6" t="s">
        <v>124</v>
      </c>
      <c r="V2" s="6" t="s">
        <v>126</v>
      </c>
    </row>
    <row r="3" spans="1:22">
      <c r="A3" s="167">
        <v>2021</v>
      </c>
      <c r="B3" s="16" t="s">
        <v>25</v>
      </c>
    </row>
    <row r="4" spans="1:22">
      <c r="A4" s="167"/>
      <c r="B4" s="16" t="s">
        <v>26</v>
      </c>
    </row>
    <row r="5" spans="1:22">
      <c r="A5" s="167"/>
      <c r="B5" s="16" t="s">
        <v>15</v>
      </c>
    </row>
    <row r="6" spans="1:22">
      <c r="A6" s="167"/>
      <c r="B6" s="16" t="s">
        <v>16</v>
      </c>
    </row>
    <row r="7" spans="1:22">
      <c r="A7" s="167"/>
      <c r="B7" s="16" t="s">
        <v>17</v>
      </c>
    </row>
    <row r="8" spans="1:22">
      <c r="A8" s="166">
        <v>2022</v>
      </c>
      <c r="B8" s="15" t="s">
        <v>18</v>
      </c>
    </row>
    <row r="9" spans="1:22">
      <c r="A9" s="166"/>
      <c r="B9" s="15" t="s">
        <v>19</v>
      </c>
    </row>
    <row r="10" spans="1:22">
      <c r="A10" s="166"/>
      <c r="B10" s="15" t="s">
        <v>20</v>
      </c>
    </row>
    <row r="11" spans="1:22">
      <c r="A11" s="166"/>
      <c r="B11" s="15" t="s">
        <v>21</v>
      </c>
    </row>
    <row r="12" spans="1:22">
      <c r="A12" s="166"/>
      <c r="B12" s="15" t="s">
        <v>22</v>
      </c>
    </row>
    <row r="13" spans="1:22">
      <c r="A13" s="166"/>
      <c r="B13" s="15" t="s">
        <v>23</v>
      </c>
    </row>
    <row r="14" spans="1:22">
      <c r="A14" s="166"/>
      <c r="B14" s="15" t="s">
        <v>24</v>
      </c>
    </row>
    <row r="15" spans="1:22">
      <c r="A15" s="166"/>
      <c r="B15" s="15" t="s">
        <v>25</v>
      </c>
    </row>
    <row r="16" spans="1:22">
      <c r="A16" s="166"/>
      <c r="B16" s="15" t="s">
        <v>26</v>
      </c>
    </row>
    <row r="17" spans="1:2">
      <c r="A17" s="166"/>
      <c r="B17" s="15" t="s">
        <v>15</v>
      </c>
    </row>
    <row r="18" spans="1:2">
      <c r="A18" s="166"/>
      <c r="B18" s="15" t="s">
        <v>16</v>
      </c>
    </row>
    <row r="19" spans="1:2">
      <c r="A19" s="166"/>
      <c r="B19" s="15" t="s">
        <v>17</v>
      </c>
    </row>
    <row r="20" spans="1:2">
      <c r="A20" s="167">
        <v>2023</v>
      </c>
      <c r="B20" s="16" t="s">
        <v>18</v>
      </c>
    </row>
    <row r="21" spans="1:2">
      <c r="A21" s="167"/>
      <c r="B21" s="16" t="s">
        <v>19</v>
      </c>
    </row>
    <row r="22" spans="1:2">
      <c r="A22" s="167"/>
      <c r="B22" s="16" t="s">
        <v>20</v>
      </c>
    </row>
    <row r="23" spans="1:2">
      <c r="A23" s="167"/>
      <c r="B23" s="16" t="s">
        <v>21</v>
      </c>
    </row>
    <row r="24" spans="1:2">
      <c r="A24" s="167"/>
      <c r="B24" s="16" t="s">
        <v>22</v>
      </c>
    </row>
    <row r="25" spans="1:2">
      <c r="A25" s="167"/>
      <c r="B25" s="16" t="s">
        <v>23</v>
      </c>
    </row>
    <row r="26" spans="1:2">
      <c r="A26" s="167"/>
      <c r="B26" s="16" t="s">
        <v>24</v>
      </c>
    </row>
    <row r="27" spans="1:2">
      <c r="A27" s="167"/>
      <c r="B27" s="16" t="s">
        <v>25</v>
      </c>
    </row>
    <row r="28" spans="1:2">
      <c r="A28" s="167"/>
      <c r="B28" s="16" t="s">
        <v>26</v>
      </c>
    </row>
    <row r="29" spans="1:2">
      <c r="A29" s="167"/>
      <c r="B29" s="16" t="s">
        <v>15</v>
      </c>
    </row>
    <row r="30" spans="1:2">
      <c r="A30" s="167"/>
      <c r="B30" s="16" t="s">
        <v>16</v>
      </c>
    </row>
    <row r="31" spans="1:2">
      <c r="A31" s="167"/>
      <c r="B31" s="16" t="s">
        <v>17</v>
      </c>
    </row>
    <row r="32" spans="1:2">
      <c r="A32" s="167">
        <v>2024</v>
      </c>
      <c r="B32" s="16" t="s">
        <v>18</v>
      </c>
    </row>
    <row r="33" spans="1:2">
      <c r="A33" s="167"/>
      <c r="B33" s="16" t="s">
        <v>19</v>
      </c>
    </row>
    <row r="34" spans="1:2">
      <c r="A34" s="167"/>
      <c r="B34" s="16" t="s">
        <v>20</v>
      </c>
    </row>
    <row r="35" spans="1:2">
      <c r="A35" s="167"/>
      <c r="B35" s="16" t="s">
        <v>21</v>
      </c>
    </row>
    <row r="36" spans="1:2">
      <c r="A36" s="167"/>
      <c r="B36" s="16" t="s">
        <v>22</v>
      </c>
    </row>
    <row r="37" spans="1:2">
      <c r="A37" s="167"/>
      <c r="B37" s="16" t="s">
        <v>23</v>
      </c>
    </row>
    <row r="38" spans="1:2">
      <c r="A38" s="167"/>
      <c r="B38" s="16" t="s">
        <v>24</v>
      </c>
    </row>
    <row r="39" spans="1:2">
      <c r="A39" s="167"/>
      <c r="B39" s="16" t="s">
        <v>25</v>
      </c>
    </row>
    <row r="40" spans="1:2">
      <c r="A40" s="167"/>
      <c r="B40" s="16" t="s">
        <v>26</v>
      </c>
    </row>
    <row r="41" spans="1:2">
      <c r="A41" s="167"/>
      <c r="B41" s="16" t="s">
        <v>15</v>
      </c>
    </row>
    <row r="42" spans="1:2">
      <c r="A42" s="167"/>
      <c r="B42" s="16" t="s">
        <v>16</v>
      </c>
    </row>
    <row r="43" spans="1:2">
      <c r="A43" s="167"/>
      <c r="B43" s="16" t="s">
        <v>17</v>
      </c>
    </row>
    <row r="44" spans="1:2">
      <c r="A44" s="167">
        <v>2025</v>
      </c>
      <c r="B44" s="16" t="s">
        <v>18</v>
      </c>
    </row>
    <row r="45" spans="1:2">
      <c r="A45" s="167"/>
      <c r="B45" s="16" t="s">
        <v>19</v>
      </c>
    </row>
    <row r="46" spans="1:2">
      <c r="A46" s="167"/>
      <c r="B46" s="16" t="s">
        <v>20</v>
      </c>
    </row>
    <row r="47" spans="1:2">
      <c r="A47" s="167"/>
      <c r="B47" s="16" t="s">
        <v>21</v>
      </c>
    </row>
    <row r="48" spans="1:2">
      <c r="A48" s="167"/>
      <c r="B48" s="16" t="s">
        <v>22</v>
      </c>
    </row>
    <row r="49" spans="1:2">
      <c r="A49" s="167"/>
      <c r="B49" s="16" t="s">
        <v>23</v>
      </c>
    </row>
    <row r="50" spans="1:2">
      <c r="A50" s="167"/>
      <c r="B50" s="16" t="s">
        <v>24</v>
      </c>
    </row>
    <row r="51" spans="1:2">
      <c r="A51" s="167"/>
      <c r="B51" s="16" t="s">
        <v>25</v>
      </c>
    </row>
    <row r="52" spans="1:2">
      <c r="A52" s="167"/>
      <c r="B52" s="16" t="s">
        <v>26</v>
      </c>
    </row>
    <row r="53" spans="1:2">
      <c r="A53" s="167"/>
      <c r="B53" s="16" t="s">
        <v>15</v>
      </c>
    </row>
    <row r="54" spans="1:2">
      <c r="A54" s="167"/>
      <c r="B54" s="16" t="s">
        <v>16</v>
      </c>
    </row>
    <row r="55" spans="1:2">
      <c r="A55" s="167"/>
      <c r="B55" s="16" t="s">
        <v>17</v>
      </c>
    </row>
    <row r="56" spans="1:2">
      <c r="A56" s="167">
        <v>2026</v>
      </c>
      <c r="B56" s="16" t="s">
        <v>18</v>
      </c>
    </row>
    <row r="57" spans="1:2">
      <c r="A57" s="167"/>
      <c r="B57" s="16" t="s">
        <v>19</v>
      </c>
    </row>
    <row r="58" spans="1:2">
      <c r="A58" s="167"/>
      <c r="B58" s="16" t="s">
        <v>20</v>
      </c>
    </row>
    <row r="59" spans="1:2">
      <c r="A59" s="167"/>
      <c r="B59" s="16" t="s">
        <v>21</v>
      </c>
    </row>
    <row r="60" spans="1:2">
      <c r="A60" s="167"/>
      <c r="B60" s="16" t="s">
        <v>22</v>
      </c>
    </row>
    <row r="61" spans="1:2">
      <c r="A61" s="167"/>
      <c r="B61" s="16" t="s">
        <v>23</v>
      </c>
    </row>
    <row r="62" spans="1:2">
      <c r="A62" s="167"/>
      <c r="B62" s="16" t="s">
        <v>24</v>
      </c>
    </row>
    <row r="63" spans="1:2">
      <c r="A63" s="167"/>
      <c r="B63" s="16" t="s">
        <v>25</v>
      </c>
    </row>
  </sheetData>
  <mergeCells count="11">
    <mergeCell ref="A56:A63"/>
    <mergeCell ref="A3:A7"/>
    <mergeCell ref="A8:A19"/>
    <mergeCell ref="A20:A31"/>
    <mergeCell ref="A32:A43"/>
    <mergeCell ref="A44:A55"/>
    <mergeCell ref="C1:D1"/>
    <mergeCell ref="G1:H1"/>
    <mergeCell ref="E1:F1"/>
    <mergeCell ref="I1:K1"/>
    <mergeCell ref="P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8BED-00AF-4D27-BB0C-74C9783F32A4}">
  <dimension ref="A1:V63"/>
  <sheetViews>
    <sheetView zoomScale="69" zoomScaleNormal="69" workbookViewId="0">
      <pane xSplit="2" ySplit="2" topLeftCell="C41" activePane="bottomRight" state="frozen"/>
      <selection pane="topRight" activeCell="C1" sqref="C1"/>
      <selection pane="bottomLeft" activeCell="A3" sqref="A3"/>
      <selection pane="bottomRight" activeCellId="1" sqref="A2:B2 A1:XFD1"/>
    </sheetView>
  </sheetViews>
  <sheetFormatPr defaultColWidth="8.81640625" defaultRowHeight="14.5"/>
  <cols>
    <col min="3" max="3" width="9.90625" bestFit="1" customWidth="1"/>
    <col min="4" max="4" width="4.26953125" bestFit="1" customWidth="1"/>
    <col min="5" max="5" width="4.81640625" bestFit="1" customWidth="1"/>
    <col min="6" max="6" width="4.453125" bestFit="1" customWidth="1"/>
    <col min="7" max="7" width="12.453125" bestFit="1" customWidth="1"/>
    <col min="8" max="8" width="10.7265625" bestFit="1" customWidth="1"/>
    <col min="9" max="9" width="8.1796875" bestFit="1" customWidth="1"/>
    <col min="10" max="10" width="10.36328125" bestFit="1" customWidth="1"/>
    <col min="11" max="11" width="8.453125" bestFit="1" customWidth="1"/>
    <col min="12" max="12" width="12.6328125" bestFit="1" customWidth="1"/>
    <col min="13" max="13" width="9.81640625" bestFit="1" customWidth="1"/>
    <col min="14" max="14" width="11.08984375" bestFit="1" customWidth="1"/>
    <col min="15" max="15" width="17.453125" bestFit="1" customWidth="1"/>
    <col min="16" max="16" width="7.6328125" bestFit="1" customWidth="1"/>
    <col min="17" max="17" width="7.54296875" bestFit="1" customWidth="1"/>
    <col min="18" max="18" width="7.81640625" bestFit="1" customWidth="1"/>
    <col min="19" max="19" width="11.453125" bestFit="1" customWidth="1"/>
    <col min="20" max="20" width="10.54296875" bestFit="1" customWidth="1"/>
    <col min="21" max="21" width="8.08984375" bestFit="1" customWidth="1"/>
    <col min="22" max="22" width="12.453125" bestFit="1" customWidth="1"/>
  </cols>
  <sheetData>
    <row r="1" spans="1:22" s="152" customFormat="1">
      <c r="A1" s="151" t="s">
        <v>37</v>
      </c>
      <c r="B1" s="151"/>
      <c r="C1" s="165" t="s">
        <v>12</v>
      </c>
      <c r="D1" s="165"/>
      <c r="E1" s="165" t="s">
        <v>108</v>
      </c>
      <c r="F1" s="165"/>
      <c r="G1" s="165" t="s">
        <v>32</v>
      </c>
      <c r="H1" s="165"/>
      <c r="I1" s="165" t="s">
        <v>30</v>
      </c>
      <c r="J1" s="165"/>
      <c r="K1" s="165"/>
      <c r="L1" s="151" t="s">
        <v>115</v>
      </c>
      <c r="M1" s="151" t="s">
        <v>35</v>
      </c>
      <c r="N1" s="151" t="s">
        <v>27</v>
      </c>
      <c r="O1" s="151" t="s">
        <v>34</v>
      </c>
      <c r="P1" s="165" t="s">
        <v>33</v>
      </c>
      <c r="Q1" s="165"/>
      <c r="R1" s="165"/>
      <c r="S1" s="165"/>
      <c r="T1" s="151" t="s">
        <v>29</v>
      </c>
      <c r="U1" s="151" t="s">
        <v>123</v>
      </c>
      <c r="V1" s="151" t="s">
        <v>125</v>
      </c>
    </row>
    <row r="2" spans="1:22">
      <c r="A2" s="151" t="s">
        <v>14</v>
      </c>
      <c r="B2" s="151" t="s">
        <v>13</v>
      </c>
      <c r="C2" s="6" t="s">
        <v>127</v>
      </c>
      <c r="D2" s="6" t="s">
        <v>105</v>
      </c>
      <c r="E2" s="6" t="s">
        <v>106</v>
      </c>
      <c r="F2" s="6" t="s">
        <v>107</v>
      </c>
      <c r="G2" s="6" t="s">
        <v>109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116</v>
      </c>
      <c r="N2" s="6" t="s">
        <v>117</v>
      </c>
      <c r="O2" s="6" t="s">
        <v>36</v>
      </c>
      <c r="P2" s="6" t="s">
        <v>118</v>
      </c>
      <c r="Q2" s="6" t="s">
        <v>119</v>
      </c>
      <c r="R2" s="6" t="s">
        <v>120</v>
      </c>
      <c r="S2" s="6" t="s">
        <v>121</v>
      </c>
      <c r="T2" s="6" t="s">
        <v>122</v>
      </c>
      <c r="U2" s="6" t="s">
        <v>124</v>
      </c>
      <c r="V2" s="6" t="s">
        <v>126</v>
      </c>
    </row>
    <row r="3" spans="1:22">
      <c r="A3" s="167">
        <v>2021</v>
      </c>
      <c r="B3" s="16" t="s">
        <v>25</v>
      </c>
    </row>
    <row r="4" spans="1:22">
      <c r="A4" s="167"/>
      <c r="B4" s="16" t="s">
        <v>26</v>
      </c>
    </row>
    <row r="5" spans="1:22">
      <c r="A5" s="167"/>
      <c r="B5" s="16" t="s">
        <v>15</v>
      </c>
    </row>
    <row r="6" spans="1:22">
      <c r="A6" s="167"/>
      <c r="B6" s="16" t="s">
        <v>16</v>
      </c>
    </row>
    <row r="7" spans="1:22">
      <c r="A7" s="167"/>
      <c r="B7" s="16" t="s">
        <v>17</v>
      </c>
    </row>
    <row r="8" spans="1:22">
      <c r="A8" s="166">
        <v>2022</v>
      </c>
      <c r="B8" s="15" t="s">
        <v>18</v>
      </c>
    </row>
    <row r="9" spans="1:22">
      <c r="A9" s="166"/>
      <c r="B9" s="15" t="s">
        <v>19</v>
      </c>
    </row>
    <row r="10" spans="1:22">
      <c r="A10" s="166"/>
      <c r="B10" s="15" t="s">
        <v>20</v>
      </c>
    </row>
    <row r="11" spans="1:22">
      <c r="A11" s="166"/>
      <c r="B11" s="15" t="s">
        <v>21</v>
      </c>
    </row>
    <row r="12" spans="1:22">
      <c r="A12" s="166"/>
      <c r="B12" s="15" t="s">
        <v>22</v>
      </c>
    </row>
    <row r="13" spans="1:22">
      <c r="A13" s="166"/>
      <c r="B13" s="15" t="s">
        <v>23</v>
      </c>
    </row>
    <row r="14" spans="1:22">
      <c r="A14" s="166"/>
      <c r="B14" s="15" t="s">
        <v>24</v>
      </c>
    </row>
    <row r="15" spans="1:22">
      <c r="A15" s="166"/>
      <c r="B15" s="15" t="s">
        <v>25</v>
      </c>
    </row>
    <row r="16" spans="1:22">
      <c r="A16" s="166"/>
      <c r="B16" s="15" t="s">
        <v>26</v>
      </c>
    </row>
    <row r="17" spans="1:2">
      <c r="A17" s="166"/>
      <c r="B17" s="15" t="s">
        <v>15</v>
      </c>
    </row>
    <row r="18" spans="1:2">
      <c r="A18" s="166"/>
      <c r="B18" s="15" t="s">
        <v>16</v>
      </c>
    </row>
    <row r="19" spans="1:2">
      <c r="A19" s="166"/>
      <c r="B19" s="15" t="s">
        <v>17</v>
      </c>
    </row>
    <row r="20" spans="1:2">
      <c r="A20" s="167">
        <v>2023</v>
      </c>
      <c r="B20" s="16" t="s">
        <v>18</v>
      </c>
    </row>
    <row r="21" spans="1:2">
      <c r="A21" s="167"/>
      <c r="B21" s="16" t="s">
        <v>19</v>
      </c>
    </row>
    <row r="22" spans="1:2">
      <c r="A22" s="167"/>
      <c r="B22" s="16" t="s">
        <v>20</v>
      </c>
    </row>
    <row r="23" spans="1:2">
      <c r="A23" s="167"/>
      <c r="B23" s="16" t="s">
        <v>21</v>
      </c>
    </row>
    <row r="24" spans="1:2">
      <c r="A24" s="167"/>
      <c r="B24" s="16" t="s">
        <v>22</v>
      </c>
    </row>
    <row r="25" spans="1:2">
      <c r="A25" s="167"/>
      <c r="B25" s="16" t="s">
        <v>23</v>
      </c>
    </row>
    <row r="26" spans="1:2">
      <c r="A26" s="167"/>
      <c r="B26" s="16" t="s">
        <v>24</v>
      </c>
    </row>
    <row r="27" spans="1:2">
      <c r="A27" s="167"/>
      <c r="B27" s="16" t="s">
        <v>25</v>
      </c>
    </row>
    <row r="28" spans="1:2">
      <c r="A28" s="167"/>
      <c r="B28" s="16" t="s">
        <v>26</v>
      </c>
    </row>
    <row r="29" spans="1:2">
      <c r="A29" s="167"/>
      <c r="B29" s="16" t="s">
        <v>15</v>
      </c>
    </row>
    <row r="30" spans="1:2">
      <c r="A30" s="167"/>
      <c r="B30" s="16" t="s">
        <v>16</v>
      </c>
    </row>
    <row r="31" spans="1:2">
      <c r="A31" s="167"/>
      <c r="B31" s="16" t="s">
        <v>17</v>
      </c>
    </row>
    <row r="32" spans="1:2">
      <c r="A32" s="166">
        <v>2024</v>
      </c>
      <c r="B32" s="15" t="s">
        <v>18</v>
      </c>
    </row>
    <row r="33" spans="1:2">
      <c r="A33" s="166"/>
      <c r="B33" s="15" t="s">
        <v>19</v>
      </c>
    </row>
    <row r="34" spans="1:2">
      <c r="A34" s="166"/>
      <c r="B34" s="15" t="s">
        <v>20</v>
      </c>
    </row>
    <row r="35" spans="1:2">
      <c r="A35" s="166"/>
      <c r="B35" s="15" t="s">
        <v>21</v>
      </c>
    </row>
    <row r="36" spans="1:2">
      <c r="A36" s="166"/>
      <c r="B36" s="15" t="s">
        <v>22</v>
      </c>
    </row>
    <row r="37" spans="1:2">
      <c r="A37" s="166"/>
      <c r="B37" s="15" t="s">
        <v>23</v>
      </c>
    </row>
    <row r="38" spans="1:2">
      <c r="A38" s="166"/>
      <c r="B38" s="15" t="s">
        <v>24</v>
      </c>
    </row>
    <row r="39" spans="1:2">
      <c r="A39" s="166"/>
      <c r="B39" s="15" t="s">
        <v>25</v>
      </c>
    </row>
    <row r="40" spans="1:2">
      <c r="A40" s="166"/>
      <c r="B40" s="15" t="s">
        <v>26</v>
      </c>
    </row>
    <row r="41" spans="1:2">
      <c r="A41" s="166"/>
      <c r="B41" s="15" t="s">
        <v>15</v>
      </c>
    </row>
    <row r="42" spans="1:2">
      <c r="A42" s="166"/>
      <c r="B42" s="15" t="s">
        <v>16</v>
      </c>
    </row>
    <row r="43" spans="1:2">
      <c r="A43" s="166"/>
      <c r="B43" s="15" t="s">
        <v>17</v>
      </c>
    </row>
    <row r="44" spans="1:2">
      <c r="A44" s="167">
        <v>2025</v>
      </c>
      <c r="B44" s="16" t="s">
        <v>18</v>
      </c>
    </row>
    <row r="45" spans="1:2">
      <c r="A45" s="167"/>
      <c r="B45" s="16" t="s">
        <v>19</v>
      </c>
    </row>
    <row r="46" spans="1:2">
      <c r="A46" s="167"/>
      <c r="B46" s="16" t="s">
        <v>20</v>
      </c>
    </row>
    <row r="47" spans="1:2">
      <c r="A47" s="167"/>
      <c r="B47" s="16" t="s">
        <v>21</v>
      </c>
    </row>
    <row r="48" spans="1:2">
      <c r="A48" s="167"/>
      <c r="B48" s="16" t="s">
        <v>22</v>
      </c>
    </row>
    <row r="49" spans="1:2">
      <c r="A49" s="167"/>
      <c r="B49" s="16" t="s">
        <v>23</v>
      </c>
    </row>
    <row r="50" spans="1:2">
      <c r="A50" s="167"/>
      <c r="B50" s="16" t="s">
        <v>24</v>
      </c>
    </row>
    <row r="51" spans="1:2">
      <c r="A51" s="167"/>
      <c r="B51" s="16" t="s">
        <v>25</v>
      </c>
    </row>
    <row r="52" spans="1:2">
      <c r="A52" s="167"/>
      <c r="B52" s="16" t="s">
        <v>26</v>
      </c>
    </row>
    <row r="53" spans="1:2">
      <c r="A53" s="167"/>
      <c r="B53" s="16" t="s">
        <v>15</v>
      </c>
    </row>
    <row r="54" spans="1:2">
      <c r="A54" s="167"/>
      <c r="B54" s="16" t="s">
        <v>16</v>
      </c>
    </row>
    <row r="55" spans="1:2">
      <c r="A55" s="167"/>
      <c r="B55" s="16" t="s">
        <v>17</v>
      </c>
    </row>
    <row r="56" spans="1:2">
      <c r="A56" s="166">
        <v>2026</v>
      </c>
      <c r="B56" s="15" t="s">
        <v>18</v>
      </c>
    </row>
    <row r="57" spans="1:2">
      <c r="A57" s="166"/>
      <c r="B57" s="15" t="s">
        <v>19</v>
      </c>
    </row>
    <row r="58" spans="1:2">
      <c r="A58" s="166"/>
      <c r="B58" s="15" t="s">
        <v>20</v>
      </c>
    </row>
    <row r="59" spans="1:2">
      <c r="A59" s="166"/>
      <c r="B59" s="15" t="s">
        <v>21</v>
      </c>
    </row>
    <row r="60" spans="1:2">
      <c r="A60" s="166"/>
      <c r="B60" s="15" t="s">
        <v>22</v>
      </c>
    </row>
    <row r="61" spans="1:2">
      <c r="A61" s="166"/>
      <c r="B61" s="15" t="s">
        <v>23</v>
      </c>
    </row>
    <row r="62" spans="1:2">
      <c r="A62" s="166"/>
      <c r="B62" s="15" t="s">
        <v>24</v>
      </c>
    </row>
    <row r="63" spans="1:2">
      <c r="A63" s="166"/>
      <c r="B63" s="15" t="s">
        <v>25</v>
      </c>
    </row>
  </sheetData>
  <mergeCells count="11">
    <mergeCell ref="A56:A63"/>
    <mergeCell ref="A3:A7"/>
    <mergeCell ref="A8:A19"/>
    <mergeCell ref="A20:A31"/>
    <mergeCell ref="A32:A43"/>
    <mergeCell ref="A44:A55"/>
    <mergeCell ref="C1:D1"/>
    <mergeCell ref="G1:H1"/>
    <mergeCell ref="E1:F1"/>
    <mergeCell ref="I1:K1"/>
    <mergeCell ref="P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7CDB-2E60-4605-8B50-120CC56B0E26}">
  <dimension ref="A1:V65"/>
  <sheetViews>
    <sheetView workbookViewId="0">
      <pane xSplit="2" ySplit="2" topLeftCell="C46" activePane="bottomRight" state="frozen"/>
      <selection pane="topRight" activeCell="C1" sqref="C1"/>
      <selection pane="bottomLeft" activeCell="A3" sqref="A3"/>
      <selection pane="bottomRight" activeCell="A2" activeCellId="1" sqref="A1:XFD1 A2:B2"/>
    </sheetView>
  </sheetViews>
  <sheetFormatPr defaultColWidth="8.81640625" defaultRowHeight="14.5"/>
  <cols>
    <col min="2" max="2" width="10.81640625" bestFit="1" customWidth="1"/>
    <col min="3" max="3" width="9.453125" bestFit="1" customWidth="1"/>
    <col min="5" max="5" width="13.6328125" bestFit="1" customWidth="1"/>
    <col min="6" max="6" width="13.1796875" bestFit="1" customWidth="1"/>
    <col min="7" max="7" width="12" bestFit="1" customWidth="1"/>
    <col min="8" max="8" width="9.453125" bestFit="1" customWidth="1"/>
    <col min="9" max="9" width="9.81640625" bestFit="1" customWidth="1"/>
    <col min="10" max="10" width="10.36328125" bestFit="1" customWidth="1"/>
    <col min="11" max="11" width="17.81640625" bestFit="1" customWidth="1"/>
    <col min="12" max="12" width="13.1796875" bestFit="1" customWidth="1"/>
    <col min="13" max="13" width="11.6328125" bestFit="1" customWidth="1"/>
    <col min="14" max="14" width="13.453125" bestFit="1" customWidth="1"/>
    <col min="15" max="16" width="15" bestFit="1" customWidth="1"/>
    <col min="17" max="17" width="10" bestFit="1" customWidth="1"/>
    <col min="18" max="18" width="19.1796875" bestFit="1" customWidth="1"/>
    <col min="19" max="19" width="18.81640625" bestFit="1" customWidth="1"/>
    <col min="20" max="20" width="10.54296875" bestFit="1" customWidth="1"/>
    <col min="22" max="22" width="12.453125" bestFit="1" customWidth="1"/>
  </cols>
  <sheetData>
    <row r="1" spans="1:22" s="152" customFormat="1">
      <c r="A1" s="151" t="s">
        <v>37</v>
      </c>
      <c r="B1" s="151"/>
      <c r="C1" s="165" t="s">
        <v>12</v>
      </c>
      <c r="D1" s="165"/>
      <c r="E1" s="165" t="s">
        <v>108</v>
      </c>
      <c r="F1" s="165"/>
      <c r="G1" s="165" t="s">
        <v>32</v>
      </c>
      <c r="H1" s="165"/>
      <c r="I1" s="165" t="s">
        <v>30</v>
      </c>
      <c r="J1" s="165"/>
      <c r="K1" s="165"/>
      <c r="L1" s="151" t="s">
        <v>115</v>
      </c>
      <c r="M1" s="151" t="s">
        <v>35</v>
      </c>
      <c r="N1" s="151" t="s">
        <v>27</v>
      </c>
      <c r="O1" s="151" t="s">
        <v>34</v>
      </c>
      <c r="P1" s="165" t="s">
        <v>33</v>
      </c>
      <c r="Q1" s="165"/>
      <c r="R1" s="165"/>
      <c r="S1" s="165"/>
      <c r="T1" s="151" t="s">
        <v>29</v>
      </c>
      <c r="U1" s="151" t="s">
        <v>123</v>
      </c>
      <c r="V1" s="151" t="s">
        <v>125</v>
      </c>
    </row>
    <row r="2" spans="1:22">
      <c r="A2" s="151" t="s">
        <v>14</v>
      </c>
      <c r="B2" s="151" t="s">
        <v>13</v>
      </c>
      <c r="C2" s="6" t="s">
        <v>127</v>
      </c>
      <c r="D2" s="6" t="s">
        <v>105</v>
      </c>
      <c r="E2" s="6" t="s">
        <v>106</v>
      </c>
      <c r="F2" s="6" t="s">
        <v>107</v>
      </c>
      <c r="G2" s="6" t="s">
        <v>109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116</v>
      </c>
      <c r="N2" s="6" t="s">
        <v>117</v>
      </c>
      <c r="O2" s="6" t="s">
        <v>36</v>
      </c>
      <c r="P2" s="6" t="s">
        <v>118</v>
      </c>
      <c r="Q2" s="6" t="s">
        <v>119</v>
      </c>
      <c r="R2" s="6" t="s">
        <v>120</v>
      </c>
      <c r="S2" s="6" t="s">
        <v>121</v>
      </c>
      <c r="T2" s="6" t="s">
        <v>122</v>
      </c>
      <c r="U2" s="6" t="s">
        <v>124</v>
      </c>
      <c r="V2" s="6" t="s">
        <v>126</v>
      </c>
    </row>
    <row r="3" spans="1:22">
      <c r="A3" s="167">
        <v>2021</v>
      </c>
      <c r="B3" s="16" t="s">
        <v>25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 spans="1:22">
      <c r="A4" s="167"/>
      <c r="B4" s="16" t="s">
        <v>26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>
      <c r="A5" s="167"/>
      <c r="B5" s="16" t="s">
        <v>15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</row>
    <row r="6" spans="1:22">
      <c r="A6" s="167"/>
      <c r="B6" s="16" t="s">
        <v>16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  <row r="7" spans="1:22">
      <c r="A7" s="167"/>
      <c r="B7" s="16" t="s">
        <v>17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 spans="1:22">
      <c r="A8" s="166">
        <v>2022</v>
      </c>
      <c r="B8" s="15" t="s">
        <v>18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</row>
    <row r="9" spans="1:22">
      <c r="A9" s="166"/>
      <c r="B9" s="15" t="s">
        <v>19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</row>
    <row r="10" spans="1:22">
      <c r="A10" s="166"/>
      <c r="B10" s="15" t="s">
        <v>20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</row>
    <row r="11" spans="1:22">
      <c r="A11" s="166"/>
      <c r="B11" s="15" t="s">
        <v>21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</row>
    <row r="12" spans="1:22">
      <c r="A12" s="166"/>
      <c r="B12" s="15" t="s">
        <v>22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</row>
    <row r="13" spans="1:22">
      <c r="A13" s="166"/>
      <c r="B13" s="15" t="s">
        <v>23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</row>
    <row r="14" spans="1:22">
      <c r="A14" s="166"/>
      <c r="B14" s="15" t="s">
        <v>24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</row>
    <row r="15" spans="1:22">
      <c r="A15" s="166"/>
      <c r="B15" s="15" t="s">
        <v>25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</row>
    <row r="16" spans="1:22">
      <c r="A16" s="166"/>
      <c r="B16" s="15" t="s">
        <v>26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>
      <c r="A17" s="166"/>
      <c r="B17" s="15" t="s">
        <v>15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</row>
    <row r="18" spans="1:22">
      <c r="A18" s="166"/>
      <c r="B18" s="15" t="s">
        <v>16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</row>
    <row r="19" spans="1:22">
      <c r="A19" s="166"/>
      <c r="B19" s="15" t="s">
        <v>17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</row>
    <row r="20" spans="1:22">
      <c r="A20" s="167">
        <v>2023</v>
      </c>
      <c r="B20" s="16" t="s">
        <v>18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</row>
    <row r="21" spans="1:22">
      <c r="A21" s="167"/>
      <c r="B21" s="16" t="s">
        <v>19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</row>
    <row r="22" spans="1:22">
      <c r="A22" s="167"/>
      <c r="B22" s="16" t="s">
        <v>20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</row>
    <row r="23" spans="1:22">
      <c r="A23" s="167"/>
      <c r="B23" s="16" t="s">
        <v>21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</row>
    <row r="24" spans="1:22">
      <c r="A24" s="167"/>
      <c r="B24" s="16" t="s">
        <v>22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</row>
    <row r="25" spans="1:22">
      <c r="A25" s="167"/>
      <c r="B25" s="16" t="s">
        <v>23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</row>
    <row r="26" spans="1:22">
      <c r="A26" s="167"/>
      <c r="B26" s="16" t="s">
        <v>24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</row>
    <row r="27" spans="1:22">
      <c r="A27" s="167"/>
      <c r="B27" s="16" t="s">
        <v>25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</row>
    <row r="28" spans="1:22">
      <c r="A28" s="167"/>
      <c r="B28" s="16" t="s">
        <v>26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</row>
    <row r="29" spans="1:22">
      <c r="A29" s="167"/>
      <c r="B29" s="16" t="s">
        <v>15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</row>
    <row r="30" spans="1:22">
      <c r="A30" s="167"/>
      <c r="B30" s="16" t="s">
        <v>16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</row>
    <row r="31" spans="1:22">
      <c r="A31" s="167"/>
      <c r="B31" s="16" t="s">
        <v>17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</row>
    <row r="32" spans="1:22">
      <c r="A32" s="166">
        <v>2024</v>
      </c>
      <c r="B32" s="15" t="s">
        <v>18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</row>
    <row r="33" spans="1:22">
      <c r="A33" s="166"/>
      <c r="B33" s="15" t="s">
        <v>19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</row>
    <row r="34" spans="1:22">
      <c r="A34" s="166"/>
      <c r="B34" s="15" t="s">
        <v>20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</row>
    <row r="35" spans="1:22">
      <c r="A35" s="166"/>
      <c r="B35" s="15" t="s">
        <v>21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</row>
    <row r="36" spans="1:22">
      <c r="A36" s="166"/>
      <c r="B36" s="15" t="s">
        <v>22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</row>
    <row r="37" spans="1:22">
      <c r="A37" s="166"/>
      <c r="B37" s="15" t="s">
        <v>23</v>
      </c>
      <c r="C37">
        <v>1</v>
      </c>
      <c r="D37" s="1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</row>
    <row r="38" spans="1:22">
      <c r="A38" s="166"/>
      <c r="B38" s="15" t="s">
        <v>24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</row>
    <row r="39" spans="1:22">
      <c r="A39" s="166"/>
      <c r="B39" s="15" t="s">
        <v>25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</row>
    <row r="40" spans="1:22">
      <c r="A40" s="166"/>
      <c r="B40" s="15" t="s">
        <v>26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</row>
    <row r="41" spans="1:22">
      <c r="A41" s="166"/>
      <c r="B41" s="15" t="s">
        <v>15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</row>
    <row r="42" spans="1:22">
      <c r="A42" s="166"/>
      <c r="B42" s="15" t="s">
        <v>16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</row>
    <row r="43" spans="1:22">
      <c r="A43" s="166"/>
      <c r="B43" s="15" t="s">
        <v>17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</row>
    <row r="44" spans="1:22">
      <c r="A44" s="167">
        <v>2025</v>
      </c>
      <c r="B44" s="16" t="s">
        <v>18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</row>
    <row r="45" spans="1:22">
      <c r="A45" s="167"/>
      <c r="B45" s="16" t="s">
        <v>19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</row>
    <row r="46" spans="1:22">
      <c r="A46" s="167"/>
      <c r="B46" s="16" t="s">
        <v>20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</row>
    <row r="47" spans="1:22">
      <c r="A47" s="167"/>
      <c r="B47" s="16" t="s">
        <v>21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</row>
    <row r="48" spans="1:22">
      <c r="A48" s="167"/>
      <c r="B48" s="16" t="s">
        <v>22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</row>
    <row r="49" spans="1:22">
      <c r="A49" s="167"/>
      <c r="B49" s="16" t="s">
        <v>23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</row>
    <row r="50" spans="1:22">
      <c r="A50" s="167"/>
      <c r="B50" s="16" t="s">
        <v>24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</row>
    <row r="51" spans="1:22">
      <c r="A51" s="167"/>
      <c r="B51" s="16" t="s">
        <v>25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</row>
    <row r="52" spans="1:22">
      <c r="A52" s="167"/>
      <c r="B52" s="16" t="s">
        <v>26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</row>
    <row r="53" spans="1:22">
      <c r="A53" s="167"/>
      <c r="B53" s="16" t="s">
        <v>15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</row>
    <row r="54" spans="1:22">
      <c r="A54" s="167"/>
      <c r="B54" s="16" t="s">
        <v>16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</row>
    <row r="55" spans="1:22">
      <c r="A55" s="167"/>
      <c r="B55" s="16" t="s">
        <v>17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</row>
    <row r="56" spans="1:22">
      <c r="A56" s="166">
        <v>2026</v>
      </c>
      <c r="B56" s="15" t="s">
        <v>18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</row>
    <row r="57" spans="1:22">
      <c r="A57" s="166"/>
      <c r="B57" s="15" t="s">
        <v>19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</row>
    <row r="58" spans="1:22">
      <c r="A58" s="166"/>
      <c r="B58" s="15" t="s">
        <v>20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</row>
    <row r="59" spans="1:22">
      <c r="A59" s="166"/>
      <c r="B59" s="15" t="s">
        <v>21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</row>
    <row r="60" spans="1:22">
      <c r="A60" s="166"/>
      <c r="B60" s="15" t="s">
        <v>22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</row>
    <row r="61" spans="1:22">
      <c r="A61" s="166"/>
      <c r="B61" s="15" t="s">
        <v>23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</row>
    <row r="62" spans="1:22">
      <c r="A62" s="166"/>
      <c r="B62" s="15" t="s">
        <v>24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</row>
    <row r="63" spans="1:22">
      <c r="A63" s="166"/>
      <c r="B63" s="15" t="s">
        <v>25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</row>
    <row r="65" spans="21:21">
      <c r="U65" s="18"/>
    </row>
  </sheetData>
  <mergeCells count="11">
    <mergeCell ref="A56:A63"/>
    <mergeCell ref="A3:A7"/>
    <mergeCell ref="A8:A19"/>
    <mergeCell ref="A20:A31"/>
    <mergeCell ref="A32:A43"/>
    <mergeCell ref="A44:A55"/>
    <mergeCell ref="C1:D1"/>
    <mergeCell ref="G1:H1"/>
    <mergeCell ref="E1:F1"/>
    <mergeCell ref="I1:K1"/>
    <mergeCell ref="P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4F01-78EA-4066-8D61-2577495D4309}">
  <dimension ref="A1:V63"/>
  <sheetViews>
    <sheetView zoomScale="94" zoomScaleNormal="98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Id="1" sqref="A2:B2 A1:XFD1"/>
    </sheetView>
  </sheetViews>
  <sheetFormatPr defaultColWidth="8.81640625" defaultRowHeight="14.5"/>
  <cols>
    <col min="2" max="2" width="10.81640625" bestFit="1" customWidth="1"/>
    <col min="3" max="3" width="9.453125" bestFit="1" customWidth="1"/>
    <col min="5" max="5" width="13.6328125" bestFit="1" customWidth="1"/>
    <col min="6" max="6" width="13.1796875" bestFit="1" customWidth="1"/>
    <col min="7" max="7" width="12" bestFit="1" customWidth="1"/>
    <col min="8" max="8" width="9.453125" bestFit="1" customWidth="1"/>
    <col min="9" max="9" width="9.81640625" bestFit="1" customWidth="1"/>
    <col min="10" max="10" width="10.54296875" bestFit="1" customWidth="1"/>
    <col min="11" max="11" width="10.08984375" customWidth="1"/>
    <col min="12" max="12" width="13.1796875" bestFit="1" customWidth="1"/>
    <col min="13" max="13" width="11.6328125" bestFit="1" customWidth="1"/>
    <col min="14" max="14" width="13.453125" bestFit="1" customWidth="1"/>
    <col min="15" max="16" width="15" bestFit="1" customWidth="1"/>
    <col min="17" max="17" width="10" bestFit="1" customWidth="1"/>
    <col min="18" max="18" width="19.1796875" bestFit="1" customWidth="1"/>
    <col min="19" max="19" width="18.81640625" bestFit="1" customWidth="1"/>
    <col min="20" max="20" width="9.6328125" bestFit="1" customWidth="1"/>
  </cols>
  <sheetData>
    <row r="1" spans="1:22" s="152" customFormat="1">
      <c r="A1" s="151" t="s">
        <v>37</v>
      </c>
      <c r="B1" s="151"/>
      <c r="C1" s="165" t="s">
        <v>12</v>
      </c>
      <c r="D1" s="165"/>
      <c r="E1" s="165" t="s">
        <v>108</v>
      </c>
      <c r="F1" s="165"/>
      <c r="G1" s="165" t="s">
        <v>32</v>
      </c>
      <c r="H1" s="165"/>
      <c r="I1" s="165" t="s">
        <v>30</v>
      </c>
      <c r="J1" s="165"/>
      <c r="K1" s="165"/>
      <c r="L1" s="151" t="s">
        <v>115</v>
      </c>
      <c r="M1" s="151" t="s">
        <v>35</v>
      </c>
      <c r="N1" s="151" t="s">
        <v>27</v>
      </c>
      <c r="O1" s="151" t="s">
        <v>34</v>
      </c>
      <c r="P1" s="165" t="s">
        <v>33</v>
      </c>
      <c r="Q1" s="165"/>
      <c r="R1" s="165"/>
      <c r="S1" s="165"/>
      <c r="T1" s="151" t="s">
        <v>29</v>
      </c>
      <c r="U1" s="151" t="s">
        <v>123</v>
      </c>
      <c r="V1" s="151" t="s">
        <v>125</v>
      </c>
    </row>
    <row r="2" spans="1:22">
      <c r="A2" s="151" t="s">
        <v>14</v>
      </c>
      <c r="B2" s="151" t="s">
        <v>13</v>
      </c>
      <c r="C2" s="6" t="s">
        <v>127</v>
      </c>
      <c r="D2" s="6" t="s">
        <v>105</v>
      </c>
      <c r="E2" s="6" t="s">
        <v>106</v>
      </c>
      <c r="F2" s="6" t="s">
        <v>107</v>
      </c>
      <c r="G2" s="6" t="s">
        <v>109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116</v>
      </c>
      <c r="N2" s="6" t="s">
        <v>117</v>
      </c>
      <c r="O2" s="6" t="s">
        <v>36</v>
      </c>
      <c r="P2" s="6" t="s">
        <v>118</v>
      </c>
      <c r="Q2" s="6" t="s">
        <v>119</v>
      </c>
      <c r="R2" s="6" t="s">
        <v>120</v>
      </c>
      <c r="S2" s="6" t="s">
        <v>121</v>
      </c>
      <c r="T2" s="6" t="s">
        <v>122</v>
      </c>
      <c r="U2" s="6" t="s">
        <v>124</v>
      </c>
      <c r="V2" s="6" t="s">
        <v>126</v>
      </c>
    </row>
    <row r="3" spans="1:22">
      <c r="A3" s="167">
        <v>2021</v>
      </c>
      <c r="B3" s="16" t="s">
        <v>25</v>
      </c>
    </row>
    <row r="4" spans="1:22">
      <c r="A4" s="167"/>
      <c r="B4" s="16" t="s">
        <v>26</v>
      </c>
      <c r="C4" s="8">
        <f>'Cash Dividend'!C4/'Price Data'!C4</f>
        <v>0</v>
      </c>
      <c r="D4" s="8">
        <f>'Cash Dividend'!D4/'Price Data'!D4</f>
        <v>0</v>
      </c>
      <c r="E4" s="8">
        <f>'Cash Dividend'!E4/'Price Data'!E4</f>
        <v>0</v>
      </c>
      <c r="F4" s="8">
        <f>'Cash Dividend'!F4/'Price Data'!F4</f>
        <v>0</v>
      </c>
      <c r="G4" s="8">
        <f>'Cash Dividend'!G4/'Price Data'!G4</f>
        <v>0</v>
      </c>
      <c r="H4" s="8">
        <f>'Cash Dividend'!H4/'Price Data'!H4</f>
        <v>0</v>
      </c>
      <c r="I4" s="8">
        <f>'Cash Dividend'!I4/'Price Data'!I4</f>
        <v>0</v>
      </c>
      <c r="J4" s="8">
        <f>'Cash Dividend'!J4/'Price Data'!J4</f>
        <v>0</v>
      </c>
      <c r="K4" s="8">
        <f>'Cash Dividend'!K4/'Price Data'!K4</f>
        <v>0</v>
      </c>
      <c r="L4" s="8">
        <f>'Cash Dividend'!L4/'Price Data'!L4</f>
        <v>0</v>
      </c>
      <c r="M4" s="8">
        <f>'Cash Dividend'!M4/'Price Data'!M4</f>
        <v>0</v>
      </c>
      <c r="N4" s="8">
        <f>'Cash Dividend'!N4/'Price Data'!N4</f>
        <v>0</v>
      </c>
      <c r="O4" s="8">
        <f>'Cash Dividend'!O4/'Price Data'!O4</f>
        <v>0</v>
      </c>
      <c r="P4" s="8">
        <f>'Cash Dividend'!P4/'Price Data'!P4</f>
        <v>0</v>
      </c>
      <c r="Q4" s="8">
        <f>'Cash Dividend'!Q4/'Price Data'!Q4</f>
        <v>0</v>
      </c>
      <c r="R4" s="8">
        <f>'Cash Dividend'!R4/'Price Data'!R4</f>
        <v>0</v>
      </c>
      <c r="S4" s="8">
        <f>'Cash Dividend'!S4/'Price Data'!S4</f>
        <v>0</v>
      </c>
      <c r="T4" s="8">
        <f>'Cash Dividend'!T4/'Price Data'!T4</f>
        <v>0</v>
      </c>
      <c r="U4" s="8">
        <f>'Cash Dividend'!U4/'Price Data'!U4</f>
        <v>0</v>
      </c>
      <c r="V4" s="8">
        <f>'Cash Dividend'!V4/'Price Data'!V4</f>
        <v>0</v>
      </c>
    </row>
    <row r="5" spans="1:22">
      <c r="A5" s="167"/>
      <c r="B5" s="16" t="s">
        <v>15</v>
      </c>
      <c r="C5" s="8">
        <f>'Cash Dividend'!C5/'Price Data'!C5</f>
        <v>0</v>
      </c>
      <c r="D5" s="8">
        <f>'Cash Dividend'!D5/'Price Data'!D5</f>
        <v>0</v>
      </c>
      <c r="E5" s="8">
        <f>'Cash Dividend'!E5/'Price Data'!E5</f>
        <v>0</v>
      </c>
      <c r="F5" s="8">
        <f>'Cash Dividend'!F5/'Price Data'!F5</f>
        <v>0</v>
      </c>
      <c r="G5" s="8">
        <f>'Cash Dividend'!G5/'Price Data'!G5</f>
        <v>0</v>
      </c>
      <c r="H5" s="8">
        <f>'Cash Dividend'!H5/'Price Data'!H5</f>
        <v>0</v>
      </c>
      <c r="I5" s="8">
        <f>'Cash Dividend'!I5/'Price Data'!I5</f>
        <v>0</v>
      </c>
      <c r="J5" s="8">
        <f>'Cash Dividend'!J5/'Price Data'!J5</f>
        <v>0</v>
      </c>
      <c r="K5" s="8">
        <f>'Cash Dividend'!K5/'Price Data'!K5</f>
        <v>0</v>
      </c>
      <c r="L5" s="8">
        <f>'Cash Dividend'!L5/'Price Data'!L5</f>
        <v>2.3741690408357077E-2</v>
      </c>
      <c r="M5" s="8">
        <f>'Cash Dividend'!M5/'Price Data'!M5</f>
        <v>2.243158366980709E-2</v>
      </c>
      <c r="N5" s="8">
        <f>'Cash Dividend'!N5/'Price Data'!N5</f>
        <v>0</v>
      </c>
      <c r="O5" s="8">
        <f>'Cash Dividend'!O5/'Price Data'!O5</f>
        <v>0</v>
      </c>
      <c r="P5" s="8">
        <f>'Cash Dividend'!P5/'Price Data'!P5</f>
        <v>1.7465626161278336E-2</v>
      </c>
      <c r="Q5" s="8">
        <f>'Cash Dividend'!Q5/'Price Data'!Q5</f>
        <v>0</v>
      </c>
      <c r="R5" s="8">
        <f>'Cash Dividend'!R5/'Price Data'!R5</f>
        <v>0</v>
      </c>
      <c r="S5" s="8">
        <f>'Cash Dividend'!S5/'Price Data'!S5</f>
        <v>0</v>
      </c>
      <c r="T5" s="8">
        <f>'Cash Dividend'!T5/'Price Data'!T5</f>
        <v>0</v>
      </c>
      <c r="U5" s="8">
        <f>'Cash Dividend'!U5/'Price Data'!U5</f>
        <v>0</v>
      </c>
      <c r="V5" s="8">
        <f>'Cash Dividend'!V5/'Price Data'!V5</f>
        <v>0</v>
      </c>
    </row>
    <row r="6" spans="1:22">
      <c r="A6" s="167"/>
      <c r="B6" s="16" t="s">
        <v>16</v>
      </c>
      <c r="C6" s="8">
        <f>'Cash Dividend'!C6/'Price Data'!C6</f>
        <v>0</v>
      </c>
      <c r="D6" s="8">
        <f>'Cash Dividend'!D6/'Price Data'!D6</f>
        <v>0</v>
      </c>
      <c r="E6" s="8">
        <f>'Cash Dividend'!E6/'Price Data'!E6</f>
        <v>0</v>
      </c>
      <c r="F6" s="8">
        <f>'Cash Dividend'!F6/'Price Data'!F6</f>
        <v>0</v>
      </c>
      <c r="G6" s="8">
        <f>'Cash Dividend'!G6/'Price Data'!G6</f>
        <v>0</v>
      </c>
      <c r="H6" s="8">
        <f>'Cash Dividend'!H6/'Price Data'!H6</f>
        <v>0</v>
      </c>
      <c r="I6" s="8">
        <f>'Cash Dividend'!I6/'Price Data'!I6</f>
        <v>3.2884902840059793E-2</v>
      </c>
      <c r="J6" s="8">
        <f>'Cash Dividend'!J6/'Price Data'!J6</f>
        <v>0</v>
      </c>
      <c r="K6" s="8">
        <f>'Cash Dividend'!K6/'Price Data'!K6</f>
        <v>3.3962264150943396E-2</v>
      </c>
      <c r="L6" s="8">
        <f>'Cash Dividend'!L6/'Price Data'!L6</f>
        <v>0</v>
      </c>
      <c r="M6" s="8">
        <f>'Cash Dividend'!M6/'Price Data'!M6</f>
        <v>0</v>
      </c>
      <c r="N6" s="8">
        <f>'Cash Dividend'!N6/'Price Data'!N6</f>
        <v>2.3086157539939051E-2</v>
      </c>
      <c r="O6" s="8">
        <f>'Cash Dividend'!O6/'Price Data'!O6</f>
        <v>0</v>
      </c>
      <c r="P6" s="8">
        <f>'Cash Dividend'!P6/'Price Data'!P6</f>
        <v>0</v>
      </c>
      <c r="Q6" s="8">
        <f>'Cash Dividend'!Q6/'Price Data'!Q6</f>
        <v>1.2022519422587412E-2</v>
      </c>
      <c r="R6" s="8">
        <f>'Cash Dividend'!R6/'Price Data'!R6</f>
        <v>0</v>
      </c>
      <c r="S6" s="8">
        <f>'Cash Dividend'!S6/'Price Data'!S6</f>
        <v>0</v>
      </c>
      <c r="T6" s="8">
        <f>'Cash Dividend'!T6/'Price Data'!T6</f>
        <v>2.3659305993690854E-2</v>
      </c>
      <c r="U6" s="8">
        <f>'Cash Dividend'!U6/'Price Data'!U6</f>
        <v>1.7889087656529516E-2</v>
      </c>
      <c r="V6" s="8">
        <f>'Cash Dividend'!V6/'Price Data'!V6</f>
        <v>0</v>
      </c>
    </row>
    <row r="7" spans="1:22">
      <c r="A7" s="167"/>
      <c r="B7" s="16" t="s">
        <v>17</v>
      </c>
      <c r="C7" s="8">
        <f>'Cash Dividend'!C7/'Price Data'!C7</f>
        <v>0</v>
      </c>
      <c r="D7" s="8">
        <f>'Cash Dividend'!D7/'Price Data'!D7</f>
        <v>0</v>
      </c>
      <c r="E7" s="8">
        <f>'Cash Dividend'!E7/'Price Data'!E7</f>
        <v>0</v>
      </c>
      <c r="F7" s="8">
        <f>'Cash Dividend'!F7/'Price Data'!F7</f>
        <v>0</v>
      </c>
      <c r="G7" s="8">
        <f>'Cash Dividend'!G7/'Price Data'!G7</f>
        <v>0</v>
      </c>
      <c r="H7" s="8">
        <f>'Cash Dividend'!H7/'Price Data'!H7</f>
        <v>0</v>
      </c>
      <c r="I7" s="8">
        <f>'Cash Dividend'!I7/'Price Data'!I7</f>
        <v>0</v>
      </c>
      <c r="J7" s="8">
        <f>'Cash Dividend'!J7/'Price Data'!J7</f>
        <v>0</v>
      </c>
      <c r="K7" s="8">
        <f>'Cash Dividend'!K7/'Price Data'!K7</f>
        <v>0</v>
      </c>
      <c r="L7" s="8">
        <f>'Cash Dividend'!L7/'Price Data'!L7</f>
        <v>0</v>
      </c>
      <c r="M7" s="8">
        <f>'Cash Dividend'!M7/'Price Data'!M7</f>
        <v>0</v>
      </c>
      <c r="N7" s="8">
        <f>'Cash Dividend'!N7/'Price Data'!N7</f>
        <v>0</v>
      </c>
      <c r="O7" s="8">
        <f>'Cash Dividend'!O7/'Price Data'!O7</f>
        <v>0</v>
      </c>
      <c r="P7" s="8">
        <f>'Cash Dividend'!P7/'Price Data'!P7</f>
        <v>0</v>
      </c>
      <c r="Q7" s="8">
        <f>'Cash Dividend'!Q7/'Price Data'!Q7</f>
        <v>0</v>
      </c>
      <c r="R7" s="8">
        <f>'Cash Dividend'!R7/'Price Data'!R7</f>
        <v>0</v>
      </c>
      <c r="S7" s="8">
        <f>'Cash Dividend'!S7/'Price Data'!S7</f>
        <v>0</v>
      </c>
      <c r="T7" s="8">
        <f>'Cash Dividend'!T7/'Price Data'!T7</f>
        <v>0</v>
      </c>
      <c r="U7" s="8">
        <f>'Cash Dividend'!U7/'Price Data'!U7</f>
        <v>0</v>
      </c>
      <c r="V7" s="8">
        <f>'Cash Dividend'!V7/'Price Data'!V7</f>
        <v>0</v>
      </c>
    </row>
    <row r="8" spans="1:22">
      <c r="A8" s="166">
        <v>2022</v>
      </c>
      <c r="B8" s="15" t="s">
        <v>18</v>
      </c>
      <c r="C8" s="8">
        <f>'Cash Dividend'!C8/'Price Data'!C8</f>
        <v>0</v>
      </c>
      <c r="D8" s="8">
        <f>'Cash Dividend'!D8/'Price Data'!D8</f>
        <v>0</v>
      </c>
      <c r="E8" s="8">
        <f>'Cash Dividend'!E8/'Price Data'!E8</f>
        <v>0</v>
      </c>
      <c r="F8" s="8">
        <f>'Cash Dividend'!F8/'Price Data'!F8</f>
        <v>0</v>
      </c>
      <c r="G8" s="8">
        <f>'Cash Dividend'!G8/'Price Data'!G8</f>
        <v>0</v>
      </c>
      <c r="H8" s="8">
        <f>'Cash Dividend'!H8/'Price Data'!H8</f>
        <v>0</v>
      </c>
      <c r="I8" s="8">
        <f>'Cash Dividend'!I8/'Price Data'!I8</f>
        <v>0</v>
      </c>
      <c r="J8" s="8">
        <f>'Cash Dividend'!J8/'Price Data'!J8</f>
        <v>0</v>
      </c>
      <c r="K8" s="8">
        <f>'Cash Dividend'!K8/'Price Data'!K8</f>
        <v>0</v>
      </c>
      <c r="L8" s="8">
        <f>'Cash Dividend'!L8/'Price Data'!L8</f>
        <v>0</v>
      </c>
      <c r="M8" s="8">
        <f>'Cash Dividend'!M8/'Price Data'!M8</f>
        <v>0</v>
      </c>
      <c r="N8" s="8">
        <f>'Cash Dividend'!N8/'Price Data'!N8</f>
        <v>0</v>
      </c>
      <c r="O8" s="8">
        <f>'Cash Dividend'!O8/'Price Data'!O8</f>
        <v>0</v>
      </c>
      <c r="P8" s="8">
        <f>'Cash Dividend'!P8/'Price Data'!P8</f>
        <v>0</v>
      </c>
      <c r="Q8" s="8">
        <f>'Cash Dividend'!Q8/'Price Data'!Q8</f>
        <v>0</v>
      </c>
      <c r="R8" s="8">
        <f>'Cash Dividend'!R8/'Price Data'!R8</f>
        <v>0</v>
      </c>
      <c r="S8" s="8">
        <f>'Cash Dividend'!S8/'Price Data'!S8</f>
        <v>0</v>
      </c>
      <c r="T8" s="8">
        <f>'Cash Dividend'!T8/'Price Data'!T8</f>
        <v>0</v>
      </c>
      <c r="U8" s="8">
        <f>'Cash Dividend'!U8/'Price Data'!U8</f>
        <v>0</v>
      </c>
      <c r="V8" s="8">
        <f>'Cash Dividend'!V8/'Price Data'!V8</f>
        <v>7.1513706793802145E-2</v>
      </c>
    </row>
    <row r="9" spans="1:22">
      <c r="A9" s="166"/>
      <c r="B9" s="15" t="s">
        <v>19</v>
      </c>
      <c r="C9" s="8">
        <f>'Cash Dividend'!C9/'Price Data'!C9</f>
        <v>0</v>
      </c>
      <c r="D9" s="8">
        <f>'Cash Dividend'!D9/'Price Data'!D9</f>
        <v>0</v>
      </c>
      <c r="E9" s="8">
        <f>'Cash Dividend'!E9/'Price Data'!E9</f>
        <v>0</v>
      </c>
      <c r="F9" s="8">
        <f>'Cash Dividend'!F9/'Price Data'!F9</f>
        <v>0</v>
      </c>
      <c r="G9" s="8">
        <f>'Cash Dividend'!G9/'Price Data'!G9</f>
        <v>0</v>
      </c>
      <c r="H9" s="8">
        <f>'Cash Dividend'!H9/'Price Data'!H9</f>
        <v>0</v>
      </c>
      <c r="I9" s="8">
        <f>'Cash Dividend'!I9/'Price Data'!I9</f>
        <v>0</v>
      </c>
      <c r="J9" s="8">
        <f>'Cash Dividend'!J9/'Price Data'!J9</f>
        <v>0</v>
      </c>
      <c r="K9" s="8">
        <f>'Cash Dividend'!K9/'Price Data'!K9</f>
        <v>0</v>
      </c>
      <c r="L9" s="8">
        <f>'Cash Dividend'!L9/'Price Data'!L9</f>
        <v>0</v>
      </c>
      <c r="M9" s="8">
        <f>'Cash Dividend'!M9/'Price Data'!M9</f>
        <v>0</v>
      </c>
      <c r="N9" s="8">
        <f>'Cash Dividend'!N9/'Price Data'!N9</f>
        <v>0</v>
      </c>
      <c r="O9" s="8">
        <f>'Cash Dividend'!O9/'Price Data'!O9</f>
        <v>7.3529411764705885E-2</v>
      </c>
      <c r="P9" s="8">
        <f>'Cash Dividend'!P9/'Price Data'!P9</f>
        <v>0</v>
      </c>
      <c r="Q9" s="8">
        <f>'Cash Dividend'!Q9/'Price Data'!Q9</f>
        <v>0</v>
      </c>
      <c r="R9" s="8">
        <f>'Cash Dividend'!R9/'Price Data'!R9</f>
        <v>0</v>
      </c>
      <c r="S9" s="8">
        <f>'Cash Dividend'!S9/'Price Data'!S9</f>
        <v>0</v>
      </c>
      <c r="T9" s="8">
        <f>'Cash Dividend'!T9/'Price Data'!T9</f>
        <v>0</v>
      </c>
      <c r="U9" s="8">
        <f>'Cash Dividend'!U9/'Price Data'!U9</f>
        <v>0</v>
      </c>
      <c r="V9" s="8">
        <f>'Cash Dividend'!V9/'Price Data'!V9</f>
        <v>0</v>
      </c>
    </row>
    <row r="10" spans="1:22">
      <c r="A10" s="166"/>
      <c r="B10" s="15" t="s">
        <v>20</v>
      </c>
      <c r="C10" s="8">
        <f>'Cash Dividend'!C10/'Price Data'!C10</f>
        <v>0</v>
      </c>
      <c r="D10" s="8">
        <f>'Cash Dividend'!D10/'Price Data'!D10</f>
        <v>0</v>
      </c>
      <c r="E10" s="8">
        <f>'Cash Dividend'!E10/'Price Data'!E10</f>
        <v>3.0511060259344011E-2</v>
      </c>
      <c r="F10" s="8">
        <f>'Cash Dividend'!F10/'Price Data'!F10</f>
        <v>2.2865853658536588E-2</v>
      </c>
      <c r="G10" s="8">
        <f>'Cash Dividend'!G10/'Price Data'!G10</f>
        <v>0</v>
      </c>
      <c r="H10" s="8">
        <f>'Cash Dividend'!H10/'Price Data'!H10</f>
        <v>0</v>
      </c>
      <c r="I10" s="8">
        <f>'Cash Dividend'!I10/'Price Data'!I10</f>
        <v>0</v>
      </c>
      <c r="J10" s="8">
        <f>'Cash Dividend'!J10/'Price Data'!J10</f>
        <v>0</v>
      </c>
      <c r="K10" s="8">
        <f>'Cash Dividend'!K10/'Price Data'!K10</f>
        <v>0</v>
      </c>
      <c r="L10" s="8">
        <f>'Cash Dividend'!L10/'Price Data'!L10</f>
        <v>0</v>
      </c>
      <c r="M10" s="8">
        <f>'Cash Dividend'!M10/'Price Data'!M10</f>
        <v>0</v>
      </c>
      <c r="N10" s="8">
        <f>'Cash Dividend'!N10/'Price Data'!N10</f>
        <v>0</v>
      </c>
      <c r="O10" s="8">
        <f>'Cash Dividend'!O10/'Price Data'!O10</f>
        <v>0</v>
      </c>
      <c r="P10" s="8">
        <f>'Cash Dividend'!P10/'Price Data'!P10</f>
        <v>0</v>
      </c>
      <c r="Q10" s="8">
        <f>'Cash Dividend'!Q10/'Price Data'!Q10</f>
        <v>0</v>
      </c>
      <c r="R10" s="8">
        <f>'Cash Dividend'!R10/'Price Data'!R10</f>
        <v>0</v>
      </c>
      <c r="S10" s="8">
        <f>'Cash Dividend'!S10/'Price Data'!S10</f>
        <v>0</v>
      </c>
      <c r="T10" s="8">
        <f>'Cash Dividend'!T10/'Price Data'!T10</f>
        <v>0</v>
      </c>
      <c r="U10" s="8">
        <f>'Cash Dividend'!U10/'Price Data'!U10</f>
        <v>0</v>
      </c>
      <c r="V10" s="8">
        <f>'Cash Dividend'!V10/'Price Data'!V10</f>
        <v>0</v>
      </c>
    </row>
    <row r="11" spans="1:22">
      <c r="A11" s="166"/>
      <c r="B11" s="15" t="s">
        <v>21</v>
      </c>
      <c r="C11" s="8">
        <f>'Cash Dividend'!C11/'Price Data'!C11</f>
        <v>2.3205445544554455E-2</v>
      </c>
      <c r="D11" s="8">
        <f>'Cash Dividend'!D11/'Price Data'!D11</f>
        <v>0</v>
      </c>
      <c r="E11" s="8">
        <f>'Cash Dividend'!E11/'Price Data'!E11</f>
        <v>0</v>
      </c>
      <c r="F11" s="8">
        <f>'Cash Dividend'!F11/'Price Data'!F11</f>
        <v>0</v>
      </c>
      <c r="G11" s="8">
        <f>'Cash Dividend'!G11/'Price Data'!G11</f>
        <v>1.7513134851138354E-2</v>
      </c>
      <c r="H11" s="8">
        <f>'Cash Dividend'!H11/'Price Data'!H11</f>
        <v>0</v>
      </c>
      <c r="I11" s="8">
        <f>'Cash Dividend'!I11/'Price Data'!I11</f>
        <v>0</v>
      </c>
      <c r="J11" s="8">
        <f>'Cash Dividend'!J11/'Price Data'!J11</f>
        <v>0</v>
      </c>
      <c r="K11" s="8">
        <f>'Cash Dividend'!K11/'Price Data'!K11</f>
        <v>0</v>
      </c>
      <c r="L11" s="8">
        <f>'Cash Dividend'!L11/'Price Data'!L11</f>
        <v>0</v>
      </c>
      <c r="M11" s="8">
        <f>'Cash Dividend'!M11/'Price Data'!M11</f>
        <v>0</v>
      </c>
      <c r="N11" s="8">
        <f>'Cash Dividend'!N11/'Price Data'!N11</f>
        <v>0</v>
      </c>
      <c r="O11" s="8">
        <f>'Cash Dividend'!O11/'Price Data'!O11</f>
        <v>0</v>
      </c>
      <c r="P11" s="8">
        <f>'Cash Dividend'!P11/'Price Data'!P11</f>
        <v>0</v>
      </c>
      <c r="Q11" s="8">
        <f>'Cash Dividend'!Q11/'Price Data'!Q11</f>
        <v>0</v>
      </c>
      <c r="R11" s="8">
        <f>'Cash Dividend'!R11/'Price Data'!R11</f>
        <v>0</v>
      </c>
      <c r="S11" s="8">
        <f>'Cash Dividend'!S11/'Price Data'!S11</f>
        <v>3.3871861720690573E-2</v>
      </c>
      <c r="T11" s="8">
        <f>'Cash Dividend'!T11/'Price Data'!T11</f>
        <v>0</v>
      </c>
      <c r="U11" s="8">
        <f>'Cash Dividend'!U11/'Price Data'!U11</f>
        <v>0</v>
      </c>
      <c r="V11" s="8">
        <f>'Cash Dividend'!V11/'Price Data'!V11</f>
        <v>0</v>
      </c>
    </row>
    <row r="12" spans="1:22">
      <c r="A12" s="166"/>
      <c r="B12" s="15" t="s">
        <v>22</v>
      </c>
      <c r="C12" s="8">
        <f>'Cash Dividend'!C12/'Price Data'!C12</f>
        <v>0</v>
      </c>
      <c r="D12" s="8">
        <f>'Cash Dividend'!D12/'Price Data'!D12</f>
        <v>0</v>
      </c>
      <c r="E12" s="8">
        <f>'Cash Dividend'!E12/'Price Data'!E12</f>
        <v>0</v>
      </c>
      <c r="F12" s="8">
        <f>'Cash Dividend'!F12/'Price Data'!F12</f>
        <v>0</v>
      </c>
      <c r="G12" s="8">
        <f>'Cash Dividend'!G12/'Price Data'!G12</f>
        <v>0</v>
      </c>
      <c r="H12" s="8">
        <f>'Cash Dividend'!H12/'Price Data'!H12</f>
        <v>3.4682080924855488E-2</v>
      </c>
      <c r="I12" s="8">
        <f>'Cash Dividend'!I12/'Price Data'!I12</f>
        <v>0</v>
      </c>
      <c r="J12" s="8">
        <f>'Cash Dividend'!J12/'Price Data'!J12</f>
        <v>0</v>
      </c>
      <c r="K12" s="8">
        <f>'Cash Dividend'!K12/'Price Data'!K12</f>
        <v>0</v>
      </c>
      <c r="L12" s="8">
        <f>'Cash Dividend'!L12/'Price Data'!L12</f>
        <v>0</v>
      </c>
      <c r="M12" s="8">
        <f>'Cash Dividend'!M12/'Price Data'!M12</f>
        <v>0</v>
      </c>
      <c r="N12" s="8">
        <f>'Cash Dividend'!N12/'Price Data'!N12</f>
        <v>0</v>
      </c>
      <c r="O12" s="8">
        <f>'Cash Dividend'!O12/'Price Data'!O12</f>
        <v>0</v>
      </c>
      <c r="P12" s="8">
        <f>'Cash Dividend'!P12/'Price Data'!P12</f>
        <v>0</v>
      </c>
      <c r="Q12" s="8">
        <f>'Cash Dividend'!Q12/'Price Data'!Q12</f>
        <v>0</v>
      </c>
      <c r="R12" s="8">
        <f>'Cash Dividend'!R12/'Price Data'!R12</f>
        <v>3.4118048447628793E-2</v>
      </c>
      <c r="S12" s="8">
        <f>'Cash Dividend'!S12/'Price Data'!S12</f>
        <v>0</v>
      </c>
      <c r="T12" s="8">
        <f>'Cash Dividend'!T12/'Price Data'!T12</f>
        <v>0</v>
      </c>
      <c r="U12" s="8">
        <f>'Cash Dividend'!U12/'Price Data'!U12</f>
        <v>0</v>
      </c>
      <c r="V12" s="8">
        <f>'Cash Dividend'!V12/'Price Data'!V12</f>
        <v>0</v>
      </c>
    </row>
    <row r="13" spans="1:22">
      <c r="A13" s="166"/>
      <c r="B13" s="15" t="s">
        <v>23</v>
      </c>
      <c r="C13" s="8">
        <f>'Cash Dividend'!C13/'Price Data'!C13</f>
        <v>0</v>
      </c>
      <c r="D13" s="8">
        <f>'Cash Dividend'!D13/'Price Data'!D13</f>
        <v>8.3333333333333329E-2</v>
      </c>
      <c r="E13" s="8">
        <f>'Cash Dividend'!E13/'Price Data'!E13</f>
        <v>0</v>
      </c>
      <c r="F13" s="8">
        <f>'Cash Dividend'!F13/'Price Data'!F13</f>
        <v>0</v>
      </c>
      <c r="G13" s="8">
        <f>'Cash Dividend'!G13/'Price Data'!G13</f>
        <v>0</v>
      </c>
      <c r="H13" s="8">
        <f>'Cash Dividend'!H13/'Price Data'!H13</f>
        <v>0</v>
      </c>
      <c r="I13" s="8">
        <f>'Cash Dividend'!I13/'Price Data'!I13</f>
        <v>0</v>
      </c>
      <c r="J13" s="8">
        <f>'Cash Dividend'!J13/'Price Data'!J13</f>
        <v>0</v>
      </c>
      <c r="K13" s="8">
        <f>'Cash Dividend'!K13/'Price Data'!K13</f>
        <v>0</v>
      </c>
      <c r="L13" s="8">
        <f>'Cash Dividend'!L13/'Price Data'!L13</f>
        <v>0</v>
      </c>
      <c r="M13" s="8">
        <f>'Cash Dividend'!M13/'Price Data'!M13</f>
        <v>0</v>
      </c>
      <c r="N13" s="8">
        <f>'Cash Dividend'!N13/'Price Data'!N13</f>
        <v>0</v>
      </c>
      <c r="O13" s="8">
        <f>'Cash Dividend'!O13/'Price Data'!O13</f>
        <v>0</v>
      </c>
      <c r="P13" s="8">
        <f>'Cash Dividend'!P13/'Price Data'!P13</f>
        <v>0</v>
      </c>
      <c r="Q13" s="8">
        <f>'Cash Dividend'!Q13/'Price Data'!Q13</f>
        <v>0</v>
      </c>
      <c r="R13" s="8">
        <f>'Cash Dividend'!R13/'Price Data'!R13</f>
        <v>0</v>
      </c>
      <c r="S13" s="8">
        <f>'Cash Dividend'!S13/'Price Data'!S13</f>
        <v>0</v>
      </c>
      <c r="T13" s="8">
        <f>'Cash Dividend'!T13/'Price Data'!T13</f>
        <v>0</v>
      </c>
      <c r="U13" s="8">
        <f>'Cash Dividend'!U13/'Price Data'!U13</f>
        <v>0</v>
      </c>
      <c r="V13" s="8">
        <f>'Cash Dividend'!V13/'Price Data'!V13</f>
        <v>0</v>
      </c>
    </row>
    <row r="14" spans="1:22">
      <c r="A14" s="166"/>
      <c r="B14" s="15" t="s">
        <v>24</v>
      </c>
      <c r="C14" s="8">
        <f>'Cash Dividend'!C14/'Price Data'!C14</f>
        <v>0</v>
      </c>
      <c r="D14" s="8">
        <f>'Cash Dividend'!D14/'Price Data'!D14</f>
        <v>0</v>
      </c>
      <c r="E14" s="8">
        <f>'Cash Dividend'!E14/'Price Data'!E14</f>
        <v>0</v>
      </c>
      <c r="F14" s="8">
        <f>'Cash Dividend'!F14/'Price Data'!F14</f>
        <v>0</v>
      </c>
      <c r="G14" s="8">
        <f>'Cash Dividend'!G14/'Price Data'!G14</f>
        <v>0</v>
      </c>
      <c r="H14" s="8">
        <f>'Cash Dividend'!H14/'Price Data'!H14</f>
        <v>0</v>
      </c>
      <c r="I14" s="8">
        <f>'Cash Dividend'!I14/'Price Data'!I14</f>
        <v>0</v>
      </c>
      <c r="J14" s="8">
        <f>'Cash Dividend'!J14/'Price Data'!J14</f>
        <v>0</v>
      </c>
      <c r="K14" s="8">
        <f>'Cash Dividend'!K14/'Price Data'!K14</f>
        <v>0</v>
      </c>
      <c r="L14" s="8">
        <f>'Cash Dividend'!L14/'Price Data'!L14</f>
        <v>0</v>
      </c>
      <c r="M14" s="8">
        <f>'Cash Dividend'!M14/'Price Data'!M14</f>
        <v>0</v>
      </c>
      <c r="N14" s="8">
        <f>'Cash Dividend'!N14/'Price Data'!N14</f>
        <v>0</v>
      </c>
      <c r="O14" s="8">
        <f>'Cash Dividend'!O14/'Price Data'!O14</f>
        <v>0</v>
      </c>
      <c r="P14" s="8">
        <f>'Cash Dividend'!P14/'Price Data'!P14</f>
        <v>0</v>
      </c>
      <c r="Q14" s="8">
        <f>'Cash Dividend'!Q14/'Price Data'!Q14</f>
        <v>0</v>
      </c>
      <c r="R14" s="8">
        <f>'Cash Dividend'!R14/'Price Data'!R14</f>
        <v>0</v>
      </c>
      <c r="S14" s="8">
        <f>'Cash Dividend'!S14/'Price Data'!S14</f>
        <v>0</v>
      </c>
      <c r="T14" s="8">
        <f>'Cash Dividend'!T14/'Price Data'!T14</f>
        <v>0</v>
      </c>
      <c r="U14" s="8">
        <f>'Cash Dividend'!U14/'Price Data'!U14</f>
        <v>0</v>
      </c>
      <c r="V14" s="8">
        <f>'Cash Dividend'!V14/'Price Data'!V14</f>
        <v>0</v>
      </c>
    </row>
    <row r="15" spans="1:22">
      <c r="A15" s="166"/>
      <c r="B15" s="15" t="s">
        <v>25</v>
      </c>
      <c r="C15" s="8">
        <f>'Cash Dividend'!C15/'Price Data'!C15</f>
        <v>0</v>
      </c>
      <c r="D15" s="8">
        <f>'Cash Dividend'!D15/'Price Data'!D15</f>
        <v>0</v>
      </c>
      <c r="E15" s="8">
        <f>'Cash Dividend'!E15/'Price Data'!E15</f>
        <v>0</v>
      </c>
      <c r="F15" s="8">
        <f>'Cash Dividend'!F15/'Price Data'!F15</f>
        <v>0</v>
      </c>
      <c r="G15" s="8">
        <f>'Cash Dividend'!G15/'Price Data'!G15</f>
        <v>0</v>
      </c>
      <c r="H15" s="8">
        <f>'Cash Dividend'!H15/'Price Data'!H15</f>
        <v>0</v>
      </c>
      <c r="I15" s="8">
        <f>'Cash Dividend'!I15/'Price Data'!I15</f>
        <v>0</v>
      </c>
      <c r="J15" s="8">
        <f>'Cash Dividend'!J15/'Price Data'!J15</f>
        <v>0</v>
      </c>
      <c r="K15" s="8">
        <f>'Cash Dividend'!K15/'Price Data'!K15</f>
        <v>0</v>
      </c>
      <c r="L15" s="8">
        <f>'Cash Dividend'!L15/'Price Data'!L15</f>
        <v>0</v>
      </c>
      <c r="M15" s="8">
        <f>'Cash Dividend'!M15/'Price Data'!M15</f>
        <v>0</v>
      </c>
      <c r="N15" s="8">
        <f>'Cash Dividend'!N15/'Price Data'!N15</f>
        <v>0</v>
      </c>
      <c r="O15" s="8">
        <f>'Cash Dividend'!O15/'Price Data'!O15</f>
        <v>0</v>
      </c>
      <c r="P15" s="8">
        <f>'Cash Dividend'!P15/'Price Data'!P15</f>
        <v>0</v>
      </c>
      <c r="Q15" s="8">
        <f>'Cash Dividend'!Q15/'Price Data'!Q15</f>
        <v>0</v>
      </c>
      <c r="R15" s="8">
        <f>'Cash Dividend'!R15/'Price Data'!R15</f>
        <v>0</v>
      </c>
      <c r="S15" s="8">
        <f>'Cash Dividend'!S15/'Price Data'!S15</f>
        <v>0</v>
      </c>
      <c r="T15" s="8">
        <f>'Cash Dividend'!T15/'Price Data'!T15</f>
        <v>0</v>
      </c>
      <c r="U15" s="8">
        <f>'Cash Dividend'!U15/'Price Data'!U15</f>
        <v>0</v>
      </c>
      <c r="V15" s="8">
        <f>'Cash Dividend'!V15/'Price Data'!V15</f>
        <v>0</v>
      </c>
    </row>
    <row r="16" spans="1:22">
      <c r="A16" s="166"/>
      <c r="B16" s="15" t="s">
        <v>26</v>
      </c>
      <c r="C16" s="8">
        <f>'Cash Dividend'!C16/'Price Data'!C16</f>
        <v>0</v>
      </c>
      <c r="D16" s="8">
        <f>'Cash Dividend'!D16/'Price Data'!D16</f>
        <v>0</v>
      </c>
      <c r="E16" s="8">
        <f>'Cash Dividend'!E16/'Price Data'!E16</f>
        <v>0</v>
      </c>
      <c r="F16" s="8">
        <f>'Cash Dividend'!F16/'Price Data'!F16</f>
        <v>0</v>
      </c>
      <c r="G16" s="8">
        <f>'Cash Dividend'!G16/'Price Data'!G16</f>
        <v>0</v>
      </c>
      <c r="H16" s="8">
        <f>'Cash Dividend'!H16/'Price Data'!H16</f>
        <v>0</v>
      </c>
      <c r="I16" s="8">
        <f>'Cash Dividend'!I16/'Price Data'!I16</f>
        <v>0</v>
      </c>
      <c r="J16" s="8">
        <f>'Cash Dividend'!J16/'Price Data'!J16</f>
        <v>0</v>
      </c>
      <c r="K16" s="8">
        <f>'Cash Dividend'!K16/'Price Data'!K16</f>
        <v>0</v>
      </c>
      <c r="L16" s="8">
        <f>'Cash Dividend'!L16/'Price Data'!L16</f>
        <v>0</v>
      </c>
      <c r="M16" s="8">
        <f>'Cash Dividend'!M16/'Price Data'!M16</f>
        <v>0</v>
      </c>
      <c r="N16" s="8">
        <f>'Cash Dividend'!N16/'Price Data'!N16</f>
        <v>0</v>
      </c>
      <c r="O16" s="8">
        <f>'Cash Dividend'!O16/'Price Data'!O16</f>
        <v>0</v>
      </c>
      <c r="P16" s="8">
        <f>'Cash Dividend'!P16/'Price Data'!P16</f>
        <v>1.95822454308094E-2</v>
      </c>
      <c r="Q16" s="8">
        <f>'Cash Dividend'!Q16/'Price Data'!Q16</f>
        <v>0</v>
      </c>
      <c r="R16" s="8">
        <f>'Cash Dividend'!R16/'Price Data'!R16</f>
        <v>0</v>
      </c>
      <c r="S16" s="8">
        <f>'Cash Dividend'!S16/'Price Data'!S16</f>
        <v>0</v>
      </c>
      <c r="T16" s="8">
        <f>'Cash Dividend'!T16/'Price Data'!T16</f>
        <v>0</v>
      </c>
      <c r="U16" s="8">
        <f>'Cash Dividend'!U16/'Price Data'!U16</f>
        <v>0</v>
      </c>
      <c r="V16" s="8">
        <f>'Cash Dividend'!V16/'Price Data'!V16</f>
        <v>0</v>
      </c>
    </row>
    <row r="17" spans="1:22">
      <c r="A17" s="166"/>
      <c r="B17" s="15" t="s">
        <v>15</v>
      </c>
      <c r="C17" s="8">
        <f>'Cash Dividend'!C17/'Price Data'!C17</f>
        <v>0</v>
      </c>
      <c r="D17" s="8">
        <f>'Cash Dividend'!D17/'Price Data'!D17</f>
        <v>0</v>
      </c>
      <c r="E17" s="8">
        <f>'Cash Dividend'!E17/'Price Data'!E17</f>
        <v>0</v>
      </c>
      <c r="F17" s="8">
        <f>'Cash Dividend'!F17/'Price Data'!F17</f>
        <v>0</v>
      </c>
      <c r="G17" s="8">
        <f>'Cash Dividend'!G17/'Price Data'!G17</f>
        <v>0</v>
      </c>
      <c r="H17" s="8">
        <f>'Cash Dividend'!H17/'Price Data'!H17</f>
        <v>0</v>
      </c>
      <c r="I17" s="8">
        <f>'Cash Dividend'!I17/'Price Data'!I17</f>
        <v>0</v>
      </c>
      <c r="J17" s="8">
        <f>'Cash Dividend'!J17/'Price Data'!J17</f>
        <v>0</v>
      </c>
      <c r="K17" s="8">
        <f>'Cash Dividend'!K17/'Price Data'!K17</f>
        <v>0</v>
      </c>
      <c r="L17" s="8">
        <f>'Cash Dividend'!L17/'Price Data'!L17</f>
        <v>0</v>
      </c>
      <c r="M17" s="8">
        <f>'Cash Dividend'!M17/'Price Data'!M17</f>
        <v>2.0558002936857563E-2</v>
      </c>
      <c r="N17" s="8">
        <f>'Cash Dividend'!N17/'Price Data'!N17</f>
        <v>0</v>
      </c>
      <c r="O17" s="8">
        <f>'Cash Dividend'!O17/'Price Data'!O17</f>
        <v>0</v>
      </c>
      <c r="P17" s="8">
        <f>'Cash Dividend'!P17/'Price Data'!P17</f>
        <v>0</v>
      </c>
      <c r="Q17" s="8">
        <f>'Cash Dividend'!Q17/'Price Data'!Q17</f>
        <v>0</v>
      </c>
      <c r="R17" s="8">
        <f>'Cash Dividend'!R17/'Price Data'!R17</f>
        <v>0</v>
      </c>
      <c r="S17" s="8">
        <f>'Cash Dividend'!S17/'Price Data'!S17</f>
        <v>0</v>
      </c>
      <c r="T17" s="8">
        <f>'Cash Dividend'!T17/'Price Data'!T17</f>
        <v>0</v>
      </c>
      <c r="U17" s="8">
        <f>'Cash Dividend'!U17/'Price Data'!U17</f>
        <v>7.6335877862595417E-3</v>
      </c>
      <c r="V17" s="8">
        <f>'Cash Dividend'!V17/'Price Data'!V17</f>
        <v>0</v>
      </c>
    </row>
    <row r="18" spans="1:22">
      <c r="A18" s="166"/>
      <c r="B18" s="15" t="s">
        <v>16</v>
      </c>
      <c r="C18" s="8">
        <f>'Cash Dividend'!C18/'Price Data'!C18</f>
        <v>0</v>
      </c>
      <c r="D18" s="8">
        <f>'Cash Dividend'!D18/'Price Data'!D18</f>
        <v>0</v>
      </c>
      <c r="E18" s="8">
        <f>'Cash Dividend'!E18/'Price Data'!E18</f>
        <v>0</v>
      </c>
      <c r="F18" s="8">
        <f>'Cash Dividend'!F18/'Price Data'!F18</f>
        <v>0</v>
      </c>
      <c r="G18" s="8">
        <f>'Cash Dividend'!G18/'Price Data'!G18</f>
        <v>0</v>
      </c>
      <c r="H18" s="8">
        <f>'Cash Dividend'!H18/'Price Data'!H18</f>
        <v>0</v>
      </c>
      <c r="I18" s="8">
        <f>'Cash Dividend'!I18/'Price Data'!I18</f>
        <v>3.483309143686502E-2</v>
      </c>
      <c r="J18" s="8">
        <f>'Cash Dividend'!J18/'Price Data'!J18</f>
        <v>2.5773195876288659E-3</v>
      </c>
      <c r="K18" s="8">
        <f>'Cash Dividend'!K18/'Price Data'!K18</f>
        <v>3.7437603993344427E-2</v>
      </c>
      <c r="L18" s="8">
        <f>'Cash Dividend'!L18/'Price Data'!L18</f>
        <v>9.6339113680154152E-3</v>
      </c>
      <c r="M18" s="8">
        <f>'Cash Dividend'!M18/'Price Data'!M18</f>
        <v>0</v>
      </c>
      <c r="N18" s="8">
        <f>'Cash Dividend'!N18/'Price Data'!N18</f>
        <v>0</v>
      </c>
      <c r="O18" s="8">
        <f>'Cash Dividend'!O18/'Price Data'!O18</f>
        <v>0</v>
      </c>
      <c r="P18" s="8">
        <f>'Cash Dividend'!P18/'Price Data'!P18</f>
        <v>0</v>
      </c>
      <c r="Q18" s="8">
        <f>'Cash Dividend'!Q18/'Price Data'!Q18</f>
        <v>1.1495196649971262E-2</v>
      </c>
      <c r="R18" s="8">
        <f>'Cash Dividend'!R18/'Price Data'!R18</f>
        <v>0</v>
      </c>
      <c r="S18" s="8">
        <f>'Cash Dividend'!S18/'Price Data'!S18</f>
        <v>0</v>
      </c>
      <c r="T18" s="8">
        <f>'Cash Dividend'!T18/'Price Data'!T18</f>
        <v>2.0779220779220779E-2</v>
      </c>
      <c r="U18" s="8">
        <f>'Cash Dividend'!U18/'Price Data'!U18</f>
        <v>0</v>
      </c>
      <c r="V18" s="8">
        <f>'Cash Dividend'!V18/'Price Data'!V18</f>
        <v>0</v>
      </c>
    </row>
    <row r="19" spans="1:22">
      <c r="A19" s="166"/>
      <c r="B19" s="15" t="s">
        <v>17</v>
      </c>
      <c r="C19" s="8">
        <f>'Cash Dividend'!C19/'Price Data'!C19</f>
        <v>0</v>
      </c>
      <c r="D19" s="8">
        <f>'Cash Dividend'!D19/'Price Data'!D19</f>
        <v>0</v>
      </c>
      <c r="E19" s="8">
        <f>'Cash Dividend'!E19/'Price Data'!E19</f>
        <v>0</v>
      </c>
      <c r="F19" s="8">
        <f>'Cash Dividend'!F19/'Price Data'!F19</f>
        <v>0</v>
      </c>
      <c r="G19" s="8">
        <f>'Cash Dividend'!G19/'Price Data'!G19</f>
        <v>0</v>
      </c>
      <c r="H19" s="8">
        <f>'Cash Dividend'!H19/'Price Data'!H19</f>
        <v>0</v>
      </c>
      <c r="I19" s="8">
        <f>'Cash Dividend'!I19/'Price Data'!I19</f>
        <v>0</v>
      </c>
      <c r="J19" s="8">
        <f>'Cash Dividend'!J19/'Price Data'!J19</f>
        <v>0</v>
      </c>
      <c r="K19" s="8">
        <f>'Cash Dividend'!K19/'Price Data'!K19</f>
        <v>0</v>
      </c>
      <c r="L19" s="8">
        <f>'Cash Dividend'!L19/'Price Data'!L19</f>
        <v>0</v>
      </c>
      <c r="M19" s="8">
        <f>'Cash Dividend'!M19/'Price Data'!M19</f>
        <v>0</v>
      </c>
      <c r="N19" s="8">
        <f>'Cash Dividend'!N19/'Price Data'!N19</f>
        <v>5.6179775280898875E-3</v>
      </c>
      <c r="O19" s="8">
        <f>'Cash Dividend'!O19/'Price Data'!O19</f>
        <v>0</v>
      </c>
      <c r="P19" s="8">
        <f>'Cash Dividend'!P19/'Price Data'!P19</f>
        <v>0</v>
      </c>
      <c r="Q19" s="8">
        <f>'Cash Dividend'!Q19/'Price Data'!Q19</f>
        <v>0</v>
      </c>
      <c r="R19" s="8">
        <f>'Cash Dividend'!R19/'Price Data'!R19</f>
        <v>0</v>
      </c>
      <c r="S19" s="8">
        <f>'Cash Dividend'!S19/'Price Data'!S19</f>
        <v>0</v>
      </c>
      <c r="T19" s="8">
        <f>'Cash Dividend'!T19/'Price Data'!T19</f>
        <v>0</v>
      </c>
      <c r="U19" s="8">
        <f>'Cash Dividend'!U19/'Price Data'!U19</f>
        <v>0</v>
      </c>
      <c r="V19" s="8">
        <f>'Cash Dividend'!V19/'Price Data'!V19</f>
        <v>7.1727435744172147E-2</v>
      </c>
    </row>
    <row r="20" spans="1:22">
      <c r="A20" s="167">
        <v>2023</v>
      </c>
      <c r="B20" s="16" t="s">
        <v>18</v>
      </c>
      <c r="C20" s="8">
        <f>'Cash Dividend'!C20/'Price Data'!C20</f>
        <v>0</v>
      </c>
      <c r="D20" s="8">
        <f>'Cash Dividend'!D20/'Price Data'!D20</f>
        <v>0</v>
      </c>
      <c r="E20" s="8">
        <f>'Cash Dividend'!E20/'Price Data'!E20</f>
        <v>0</v>
      </c>
      <c r="F20" s="8">
        <f>'Cash Dividend'!F20/'Price Data'!F20</f>
        <v>0</v>
      </c>
      <c r="G20" s="8">
        <f>'Cash Dividend'!G20/'Price Data'!G20</f>
        <v>0</v>
      </c>
      <c r="H20" s="8">
        <f>'Cash Dividend'!H20/'Price Data'!H20</f>
        <v>0</v>
      </c>
      <c r="I20" s="8">
        <f>'Cash Dividend'!I20/'Price Data'!I20</f>
        <v>0</v>
      </c>
      <c r="J20" s="8">
        <f>'Cash Dividend'!J20/'Price Data'!J20</f>
        <v>0</v>
      </c>
      <c r="K20" s="8">
        <f>'Cash Dividend'!K20/'Price Data'!K20</f>
        <v>0</v>
      </c>
      <c r="L20" s="8">
        <f>'Cash Dividend'!L20/'Price Data'!L20</f>
        <v>0</v>
      </c>
      <c r="M20" s="8">
        <f>'Cash Dividend'!M20/'Price Data'!M20</f>
        <v>0</v>
      </c>
      <c r="N20" s="8">
        <f>'Cash Dividend'!N20/'Price Data'!N20</f>
        <v>0</v>
      </c>
      <c r="O20" s="8">
        <f>'Cash Dividend'!O20/'Price Data'!O20</f>
        <v>0</v>
      </c>
      <c r="P20" s="8">
        <f>'Cash Dividend'!P20/'Price Data'!P20</f>
        <v>0</v>
      </c>
      <c r="Q20" s="8">
        <f>'Cash Dividend'!Q20/'Price Data'!Q20</f>
        <v>0</v>
      </c>
      <c r="R20" s="8">
        <f>'Cash Dividend'!R20/'Price Data'!R20</f>
        <v>0</v>
      </c>
      <c r="S20" s="8">
        <f>'Cash Dividend'!S20/'Price Data'!S20</f>
        <v>0</v>
      </c>
      <c r="T20" s="8">
        <f>'Cash Dividend'!T20/'Price Data'!T20</f>
        <v>0</v>
      </c>
      <c r="U20" s="8">
        <f>'Cash Dividend'!U20/'Price Data'!U20</f>
        <v>0</v>
      </c>
      <c r="V20" s="8">
        <f>'Cash Dividend'!V20/'Price Data'!V20</f>
        <v>0</v>
      </c>
    </row>
    <row r="21" spans="1:22">
      <c r="A21" s="167"/>
      <c r="B21" s="16" t="s">
        <v>19</v>
      </c>
      <c r="C21" s="8">
        <f>'Cash Dividend'!C21/'Price Data'!C21</f>
        <v>0</v>
      </c>
      <c r="D21" s="8">
        <f>'Cash Dividend'!D21/'Price Data'!D21</f>
        <v>0</v>
      </c>
      <c r="E21" s="8">
        <f>'Cash Dividend'!E21/'Price Data'!E21</f>
        <v>0</v>
      </c>
      <c r="F21" s="8">
        <f>'Cash Dividend'!F21/'Price Data'!F21</f>
        <v>0</v>
      </c>
      <c r="G21" s="8">
        <f>'Cash Dividend'!G21/'Price Data'!G21</f>
        <v>0</v>
      </c>
      <c r="H21" s="8">
        <f>'Cash Dividend'!H21/'Price Data'!H21</f>
        <v>0</v>
      </c>
      <c r="I21" s="8">
        <f>'Cash Dividend'!I21/'Price Data'!I21</f>
        <v>0</v>
      </c>
      <c r="J21" s="8">
        <f>'Cash Dividend'!J21/'Price Data'!J21</f>
        <v>0</v>
      </c>
      <c r="K21" s="8">
        <f>'Cash Dividend'!K21/'Price Data'!K21</f>
        <v>0</v>
      </c>
      <c r="L21" s="8">
        <f>'Cash Dividend'!L21/'Price Data'!L21</f>
        <v>0</v>
      </c>
      <c r="M21" s="8">
        <f>'Cash Dividend'!M21/'Price Data'!M21</f>
        <v>0</v>
      </c>
      <c r="N21" s="8">
        <f>'Cash Dividend'!N21/'Price Data'!N21</f>
        <v>0</v>
      </c>
      <c r="O21" s="8">
        <f>'Cash Dividend'!O21/'Price Data'!O21</f>
        <v>7.6762037683182127E-2</v>
      </c>
      <c r="P21" s="8">
        <f>'Cash Dividend'!P21/'Price Data'!P21</f>
        <v>0</v>
      </c>
      <c r="Q21" s="8">
        <f>'Cash Dividend'!Q21/'Price Data'!Q21</f>
        <v>0</v>
      </c>
      <c r="R21" s="8">
        <f>'Cash Dividend'!R21/'Price Data'!R21</f>
        <v>0</v>
      </c>
      <c r="S21" s="8">
        <f>'Cash Dividend'!S21/'Price Data'!S21</f>
        <v>0</v>
      </c>
      <c r="T21" s="8">
        <f>'Cash Dividend'!T21/'Price Data'!T21</f>
        <v>0</v>
      </c>
      <c r="U21" s="8">
        <f>'Cash Dividend'!U21/'Price Data'!U21</f>
        <v>0</v>
      </c>
      <c r="V21" s="8">
        <f>'Cash Dividend'!V21/'Price Data'!V21</f>
        <v>0</v>
      </c>
    </row>
    <row r="22" spans="1:22">
      <c r="A22" s="167"/>
      <c r="B22" s="16" t="s">
        <v>20</v>
      </c>
      <c r="C22" s="8">
        <f>'Cash Dividend'!C22/'Price Data'!C22</f>
        <v>0</v>
      </c>
      <c r="D22" s="8">
        <f>'Cash Dividend'!D22/'Price Data'!D22</f>
        <v>0</v>
      </c>
      <c r="E22" s="8">
        <f>'Cash Dividend'!E22/'Price Data'!E22</f>
        <v>1.8228217280349981E-2</v>
      </c>
      <c r="F22" s="8">
        <f>'Cash Dividend'!F22/'Price Data'!F22</f>
        <v>0</v>
      </c>
      <c r="G22" s="8">
        <f>'Cash Dividend'!G22/'Price Data'!G22</f>
        <v>0</v>
      </c>
      <c r="H22" s="8">
        <f>'Cash Dividend'!H22/'Price Data'!H22</f>
        <v>0</v>
      </c>
      <c r="I22" s="8">
        <f>'Cash Dividend'!I22/'Price Data'!I22</f>
        <v>0</v>
      </c>
      <c r="J22" s="8">
        <f>'Cash Dividend'!J22/'Price Data'!J22</f>
        <v>0</v>
      </c>
      <c r="K22" s="8">
        <f>'Cash Dividend'!K22/'Price Data'!K22</f>
        <v>0</v>
      </c>
      <c r="L22" s="8">
        <f>'Cash Dividend'!L22/'Price Data'!L22</f>
        <v>0</v>
      </c>
      <c r="M22" s="8">
        <f>'Cash Dividend'!M22/'Price Data'!M22</f>
        <v>0</v>
      </c>
      <c r="N22" s="8">
        <f>'Cash Dividend'!N22/'Price Data'!N22</f>
        <v>0</v>
      </c>
      <c r="O22" s="8">
        <f>'Cash Dividend'!O22/'Price Data'!O22</f>
        <v>0</v>
      </c>
      <c r="P22" s="8">
        <f>'Cash Dividend'!P22/'Price Data'!P22</f>
        <v>0</v>
      </c>
      <c r="Q22" s="8">
        <f>'Cash Dividend'!Q22/'Price Data'!Q22</f>
        <v>0</v>
      </c>
      <c r="R22" s="8">
        <f>'Cash Dividend'!R22/'Price Data'!R22</f>
        <v>0</v>
      </c>
      <c r="S22" s="8">
        <f>'Cash Dividend'!S22/'Price Data'!S22</f>
        <v>2.0585208057638582E-2</v>
      </c>
      <c r="T22" s="8">
        <f>'Cash Dividend'!T22/'Price Data'!T22</f>
        <v>0</v>
      </c>
      <c r="U22" s="8">
        <f>'Cash Dividend'!U22/'Price Data'!U22</f>
        <v>0</v>
      </c>
      <c r="V22" s="8">
        <f>'Cash Dividend'!V22/'Price Data'!V22</f>
        <v>0</v>
      </c>
    </row>
    <row r="23" spans="1:22">
      <c r="A23" s="167"/>
      <c r="B23" s="16" t="s">
        <v>21</v>
      </c>
      <c r="C23" s="8">
        <f>'Cash Dividend'!C23/'Price Data'!C23</f>
        <v>0</v>
      </c>
      <c r="D23" s="8">
        <f>'Cash Dividend'!D23/'Price Data'!D23</f>
        <v>0</v>
      </c>
      <c r="E23" s="8">
        <f>'Cash Dividend'!E23/'Price Data'!E23</f>
        <v>0</v>
      </c>
      <c r="F23" s="8">
        <f>'Cash Dividend'!F23/'Price Data'!F23</f>
        <v>2.6455026455026454E-2</v>
      </c>
      <c r="G23" s="8">
        <f>'Cash Dividend'!G23/'Price Data'!G23</f>
        <v>0</v>
      </c>
      <c r="H23" s="8">
        <f>'Cash Dividend'!H23/'Price Data'!H23</f>
        <v>0</v>
      </c>
      <c r="I23" s="8">
        <f>'Cash Dividend'!I23/'Price Data'!I23</f>
        <v>0</v>
      </c>
      <c r="J23" s="8">
        <f>'Cash Dividend'!J23/'Price Data'!J23</f>
        <v>0</v>
      </c>
      <c r="K23" s="8">
        <f>'Cash Dividend'!K23/'Price Data'!K23</f>
        <v>0</v>
      </c>
      <c r="L23" s="8">
        <f>'Cash Dividend'!L23/'Price Data'!L23</f>
        <v>0</v>
      </c>
      <c r="M23" s="8">
        <f>'Cash Dividend'!M23/'Price Data'!M23</f>
        <v>0</v>
      </c>
      <c r="N23" s="8">
        <f>'Cash Dividend'!N23/'Price Data'!N23</f>
        <v>0</v>
      </c>
      <c r="O23" s="8">
        <f>'Cash Dividend'!O23/'Price Data'!O23</f>
        <v>0</v>
      </c>
      <c r="P23" s="8">
        <f>'Cash Dividend'!P23/'Price Data'!P23</f>
        <v>0</v>
      </c>
      <c r="Q23" s="8">
        <f>'Cash Dividend'!Q23/'Price Data'!Q23</f>
        <v>0</v>
      </c>
      <c r="R23" s="8">
        <f>'Cash Dividend'!R23/'Price Data'!R23</f>
        <v>0</v>
      </c>
      <c r="S23" s="8">
        <f>'Cash Dividend'!S23/'Price Data'!S23</f>
        <v>0</v>
      </c>
      <c r="T23" s="8">
        <f>'Cash Dividend'!T23/'Price Data'!T23</f>
        <v>0</v>
      </c>
      <c r="U23" s="8">
        <f>'Cash Dividend'!U23/'Price Data'!U23</f>
        <v>0</v>
      </c>
      <c r="V23" s="8">
        <f>'Cash Dividend'!V23/'Price Data'!V23</f>
        <v>0</v>
      </c>
    </row>
    <row r="24" spans="1:22">
      <c r="A24" s="167"/>
      <c r="B24" s="16" t="s">
        <v>22</v>
      </c>
      <c r="C24" s="8">
        <f>'Cash Dividend'!C24/'Price Data'!C24</f>
        <v>2.9809220985691574E-2</v>
      </c>
      <c r="D24" s="8">
        <f>'Cash Dividend'!D24/'Price Data'!D24</f>
        <v>0</v>
      </c>
      <c r="E24" s="8">
        <f>'Cash Dividend'!E24/'Price Data'!E24</f>
        <v>0</v>
      </c>
      <c r="F24" s="8">
        <f>'Cash Dividend'!F24/'Price Data'!F24</f>
        <v>0</v>
      </c>
      <c r="G24" s="8">
        <f>'Cash Dividend'!G24/'Price Data'!G24</f>
        <v>1.7271157167530225E-2</v>
      </c>
      <c r="H24" s="8">
        <f>'Cash Dividend'!H24/'Price Data'!H24</f>
        <v>2.7322404371584699E-2</v>
      </c>
      <c r="I24" s="8">
        <f>'Cash Dividend'!I24/'Price Data'!I24</f>
        <v>0</v>
      </c>
      <c r="J24" s="8">
        <f>'Cash Dividend'!J24/'Price Data'!J24</f>
        <v>0</v>
      </c>
      <c r="K24" s="8">
        <f>'Cash Dividend'!K24/'Price Data'!K24</f>
        <v>0</v>
      </c>
      <c r="L24" s="8">
        <f>'Cash Dividend'!L24/'Price Data'!L24</f>
        <v>0</v>
      </c>
      <c r="M24" s="8">
        <f>'Cash Dividend'!M24/'Price Data'!M24</f>
        <v>0</v>
      </c>
      <c r="N24" s="8">
        <f>'Cash Dividend'!N24/'Price Data'!N24</f>
        <v>0</v>
      </c>
      <c r="O24" s="8">
        <f>'Cash Dividend'!O24/'Price Data'!O24</f>
        <v>0</v>
      </c>
      <c r="P24" s="8">
        <f>'Cash Dividend'!P24/'Price Data'!P24</f>
        <v>0</v>
      </c>
      <c r="Q24" s="8">
        <f>'Cash Dividend'!Q24/'Price Data'!Q24</f>
        <v>0</v>
      </c>
      <c r="R24" s="8">
        <f>'Cash Dividend'!R24/'Price Data'!R24</f>
        <v>3.097253768325418E-2</v>
      </c>
      <c r="S24" s="8">
        <f>'Cash Dividend'!S24/'Price Data'!S24</f>
        <v>0</v>
      </c>
      <c r="T24" s="8">
        <f>'Cash Dividend'!T24/'Price Data'!T24</f>
        <v>0</v>
      </c>
      <c r="U24" s="8">
        <f>'Cash Dividend'!U24/'Price Data'!U24</f>
        <v>0</v>
      </c>
      <c r="V24" s="8">
        <f>'Cash Dividend'!V24/'Price Data'!V24</f>
        <v>0</v>
      </c>
    </row>
    <row r="25" spans="1:22">
      <c r="A25" s="167"/>
      <c r="B25" s="16" t="s">
        <v>23</v>
      </c>
      <c r="C25" s="8">
        <f>'Cash Dividend'!C25/'Price Data'!C25</f>
        <v>0</v>
      </c>
      <c r="D25" s="8">
        <f>'Cash Dividend'!D25/'Price Data'!D25</f>
        <v>3.8167938931297711E-2</v>
      </c>
      <c r="E25" s="8">
        <f>'Cash Dividend'!E25/'Price Data'!E25</f>
        <v>0</v>
      </c>
      <c r="F25" s="8">
        <f>'Cash Dividend'!F25/'Price Data'!F25</f>
        <v>0</v>
      </c>
      <c r="G25" s="8">
        <f>'Cash Dividend'!G25/'Price Data'!G25</f>
        <v>0</v>
      </c>
      <c r="H25" s="8">
        <f>'Cash Dividend'!H25/'Price Data'!H25</f>
        <v>0</v>
      </c>
      <c r="I25" s="8">
        <f>'Cash Dividend'!I25/'Price Data'!I25</f>
        <v>0</v>
      </c>
      <c r="J25" s="8">
        <f>'Cash Dividend'!J25/'Price Data'!J25</f>
        <v>0</v>
      </c>
      <c r="K25" s="8">
        <f>'Cash Dividend'!K25/'Price Data'!K25</f>
        <v>0</v>
      </c>
      <c r="L25" s="8">
        <f>'Cash Dividend'!L25/'Price Data'!L25</f>
        <v>0</v>
      </c>
      <c r="M25" s="8">
        <f>'Cash Dividend'!M25/'Price Data'!M25</f>
        <v>0</v>
      </c>
      <c r="N25" s="8">
        <f>'Cash Dividend'!N25/'Price Data'!N25</f>
        <v>0</v>
      </c>
      <c r="O25" s="8">
        <f>'Cash Dividend'!O25/'Price Data'!O25</f>
        <v>0</v>
      </c>
      <c r="P25" s="8">
        <f>'Cash Dividend'!P25/'Price Data'!P25</f>
        <v>0</v>
      </c>
      <c r="Q25" s="8">
        <f>'Cash Dividend'!Q25/'Price Data'!Q25</f>
        <v>0</v>
      </c>
      <c r="R25" s="8">
        <f>'Cash Dividend'!R25/'Price Data'!R25</f>
        <v>0</v>
      </c>
      <c r="S25" s="8">
        <f>'Cash Dividend'!S25/'Price Data'!S25</f>
        <v>0</v>
      </c>
      <c r="T25" s="8">
        <f>'Cash Dividend'!T25/'Price Data'!T25</f>
        <v>0</v>
      </c>
      <c r="U25" s="8">
        <f>'Cash Dividend'!U25/'Price Data'!U25</f>
        <v>0</v>
      </c>
      <c r="V25" s="8">
        <f>'Cash Dividend'!V25/'Price Data'!V25</f>
        <v>0</v>
      </c>
    </row>
    <row r="26" spans="1:22">
      <c r="A26" s="167"/>
      <c r="B26" s="16" t="s">
        <v>24</v>
      </c>
      <c r="C26" s="8">
        <f>'Cash Dividend'!C26/'Price Data'!C26</f>
        <v>0</v>
      </c>
      <c r="D26" s="8">
        <f>'Cash Dividend'!D26/'Price Data'!D26</f>
        <v>0</v>
      </c>
      <c r="E26" s="8">
        <f>'Cash Dividend'!E26/'Price Data'!E26</f>
        <v>0</v>
      </c>
      <c r="F26" s="8">
        <f>'Cash Dividend'!F26/'Price Data'!F26</f>
        <v>0</v>
      </c>
      <c r="G26" s="8">
        <f>'Cash Dividend'!G26/'Price Data'!G26</f>
        <v>0</v>
      </c>
      <c r="H26" s="8">
        <f>'Cash Dividend'!H26/'Price Data'!H26</f>
        <v>0</v>
      </c>
      <c r="I26" s="8">
        <f>'Cash Dividend'!I26/'Price Data'!I26</f>
        <v>0</v>
      </c>
      <c r="J26" s="8">
        <f>'Cash Dividend'!J26/'Price Data'!J26</f>
        <v>0</v>
      </c>
      <c r="K26" s="8">
        <f>'Cash Dividend'!K26/'Price Data'!K26</f>
        <v>0</v>
      </c>
      <c r="L26" s="8">
        <f>'Cash Dividend'!L26/'Price Data'!L26</f>
        <v>0</v>
      </c>
      <c r="M26" s="8">
        <f>'Cash Dividend'!M26/'Price Data'!M26</f>
        <v>0</v>
      </c>
      <c r="N26" s="8">
        <f>'Cash Dividend'!N26/'Price Data'!N26</f>
        <v>0</v>
      </c>
      <c r="O26" s="8">
        <f>'Cash Dividend'!O26/'Price Data'!O26</f>
        <v>0</v>
      </c>
      <c r="P26" s="8">
        <f>'Cash Dividend'!P26/'Price Data'!P26</f>
        <v>0</v>
      </c>
      <c r="Q26" s="8">
        <f>'Cash Dividend'!Q26/'Price Data'!Q26</f>
        <v>0</v>
      </c>
      <c r="R26" s="8">
        <f>'Cash Dividend'!R26/'Price Data'!R26</f>
        <v>0</v>
      </c>
      <c r="S26" s="8">
        <f>'Cash Dividend'!S26/'Price Data'!S26</f>
        <v>0</v>
      </c>
      <c r="T26" s="8">
        <f>'Cash Dividend'!T26/'Price Data'!T26</f>
        <v>0</v>
      </c>
      <c r="U26" s="8">
        <f>'Cash Dividend'!U26/'Price Data'!U26</f>
        <v>0</v>
      </c>
      <c r="V26" s="8">
        <f>'Cash Dividend'!V26/'Price Data'!V26</f>
        <v>0</v>
      </c>
    </row>
    <row r="27" spans="1:22">
      <c r="A27" s="167"/>
      <c r="B27" s="16" t="s">
        <v>25</v>
      </c>
      <c r="C27" s="8">
        <f>'Cash Dividend'!C27/'Price Data'!C27</f>
        <v>0</v>
      </c>
      <c r="D27" s="8">
        <f>'Cash Dividend'!D27/'Price Data'!D27</f>
        <v>0</v>
      </c>
      <c r="E27" s="8">
        <f>'Cash Dividend'!E27/'Price Data'!E27</f>
        <v>0</v>
      </c>
      <c r="F27" s="8">
        <f>'Cash Dividend'!F27/'Price Data'!F27</f>
        <v>0</v>
      </c>
      <c r="G27" s="8">
        <f>'Cash Dividend'!G27/'Price Data'!G27</f>
        <v>0</v>
      </c>
      <c r="H27" s="8">
        <f>'Cash Dividend'!H27/'Price Data'!H27</f>
        <v>0</v>
      </c>
      <c r="I27" s="8">
        <f>'Cash Dividend'!I27/'Price Data'!I27</f>
        <v>0</v>
      </c>
      <c r="J27" s="8">
        <f>'Cash Dividend'!J27/'Price Data'!J27</f>
        <v>0</v>
      </c>
      <c r="K27" s="8">
        <f>'Cash Dividend'!K27/'Price Data'!K27</f>
        <v>0</v>
      </c>
      <c r="L27" s="8">
        <f>'Cash Dividend'!L27/'Price Data'!L27</f>
        <v>0</v>
      </c>
      <c r="M27" s="8">
        <f>'Cash Dividend'!M27/'Price Data'!M27</f>
        <v>0</v>
      </c>
      <c r="N27" s="8">
        <f>'Cash Dividend'!N27/'Price Data'!N27</f>
        <v>0</v>
      </c>
      <c r="O27" s="8">
        <f>'Cash Dividend'!O27/'Price Data'!O27</f>
        <v>0</v>
      </c>
      <c r="P27" s="8">
        <f>'Cash Dividend'!P27/'Price Data'!P27</f>
        <v>0</v>
      </c>
      <c r="Q27" s="8">
        <f>'Cash Dividend'!Q27/'Price Data'!Q27</f>
        <v>0</v>
      </c>
      <c r="R27" s="8">
        <f>'Cash Dividend'!R27/'Price Data'!R27</f>
        <v>0</v>
      </c>
      <c r="S27" s="8">
        <f>'Cash Dividend'!S27/'Price Data'!S27</f>
        <v>0</v>
      </c>
      <c r="T27" s="8">
        <f>'Cash Dividend'!T27/'Price Data'!T27</f>
        <v>0</v>
      </c>
      <c r="U27" s="8">
        <f>'Cash Dividend'!U27/'Price Data'!U27</f>
        <v>0</v>
      </c>
      <c r="V27" s="8">
        <f>'Cash Dividend'!V27/'Price Data'!V27</f>
        <v>0</v>
      </c>
    </row>
    <row r="28" spans="1:22">
      <c r="A28" s="167"/>
      <c r="B28" s="16" t="s">
        <v>26</v>
      </c>
      <c r="C28" s="8">
        <f>'Cash Dividend'!C28/'Price Data'!C28</f>
        <v>0</v>
      </c>
      <c r="D28" s="8">
        <f>'Cash Dividend'!D28/'Price Data'!D28</f>
        <v>0</v>
      </c>
      <c r="E28" s="8">
        <f>'Cash Dividend'!E28/'Price Data'!E28</f>
        <v>0</v>
      </c>
      <c r="F28" s="8">
        <f>'Cash Dividend'!F28/'Price Data'!F28</f>
        <v>0</v>
      </c>
      <c r="G28" s="8">
        <f>'Cash Dividend'!G28/'Price Data'!G28</f>
        <v>0</v>
      </c>
      <c r="H28" s="8">
        <f>'Cash Dividend'!H28/'Price Data'!H28</f>
        <v>0</v>
      </c>
      <c r="I28" s="8">
        <f>'Cash Dividend'!I28/'Price Data'!I28</f>
        <v>0</v>
      </c>
      <c r="J28" s="8">
        <f>'Cash Dividend'!J28/'Price Data'!J28</f>
        <v>0</v>
      </c>
      <c r="K28" s="8">
        <f>'Cash Dividend'!K28/'Price Data'!K28</f>
        <v>0</v>
      </c>
      <c r="L28" s="8">
        <f>'Cash Dividend'!L28/'Price Data'!L28</f>
        <v>0</v>
      </c>
      <c r="M28" s="8">
        <f>'Cash Dividend'!M28/'Price Data'!M28</f>
        <v>0</v>
      </c>
      <c r="N28" s="8">
        <f>'Cash Dividend'!N28/'Price Data'!N28</f>
        <v>0</v>
      </c>
      <c r="O28" s="8">
        <f>'Cash Dividend'!O28/'Price Data'!O28</f>
        <v>0</v>
      </c>
      <c r="P28" s="8">
        <f>'Cash Dividend'!P28/'Price Data'!P28</f>
        <v>2.09351011863224E-2</v>
      </c>
      <c r="Q28" s="8">
        <f>'Cash Dividend'!Q28/'Price Data'!Q28</f>
        <v>0</v>
      </c>
      <c r="R28" s="8">
        <f>'Cash Dividend'!R28/'Price Data'!R28</f>
        <v>0</v>
      </c>
      <c r="S28" s="8">
        <f>'Cash Dividend'!S28/'Price Data'!S28</f>
        <v>0</v>
      </c>
      <c r="T28" s="8">
        <f>'Cash Dividend'!T28/'Price Data'!T28</f>
        <v>0</v>
      </c>
      <c r="U28" s="8">
        <f>'Cash Dividend'!U28/'Price Data'!U28</f>
        <v>0</v>
      </c>
      <c r="V28" s="8">
        <f>'Cash Dividend'!V28/'Price Data'!V28</f>
        <v>0</v>
      </c>
    </row>
    <row r="29" spans="1:22">
      <c r="A29" s="167"/>
      <c r="B29" s="16" t="s">
        <v>15</v>
      </c>
      <c r="C29" s="8">
        <f>'Cash Dividend'!C29/'Price Data'!C29</f>
        <v>0</v>
      </c>
      <c r="D29" s="8">
        <f>'Cash Dividend'!D29/'Price Data'!D29</f>
        <v>0</v>
      </c>
      <c r="E29" s="8">
        <f>'Cash Dividend'!E29/'Price Data'!E29</f>
        <v>0</v>
      </c>
      <c r="F29" s="8">
        <f>'Cash Dividend'!F29/'Price Data'!F29</f>
        <v>0</v>
      </c>
      <c r="G29" s="8">
        <f>'Cash Dividend'!G29/'Price Data'!G29</f>
        <v>0</v>
      </c>
      <c r="H29" s="8">
        <f>'Cash Dividend'!H29/'Price Data'!H29</f>
        <v>0</v>
      </c>
      <c r="I29" s="8">
        <f>'Cash Dividend'!I29/'Price Data'!I29</f>
        <v>0</v>
      </c>
      <c r="J29" s="8">
        <f>'Cash Dividend'!J29/'Price Data'!J29</f>
        <v>0</v>
      </c>
      <c r="K29" s="8">
        <f>'Cash Dividend'!K29/'Price Data'!K29</f>
        <v>0</v>
      </c>
      <c r="L29" s="8">
        <f>'Cash Dividend'!L29/'Price Data'!L29</f>
        <v>0</v>
      </c>
      <c r="M29" s="8">
        <f>'Cash Dividend'!M29/'Price Data'!M29</f>
        <v>1.8235815140936799E-2</v>
      </c>
      <c r="N29" s="8">
        <f>'Cash Dividend'!N29/'Price Data'!N29</f>
        <v>0</v>
      </c>
      <c r="O29" s="8">
        <f>'Cash Dividend'!O29/'Price Data'!O29</f>
        <v>0</v>
      </c>
      <c r="P29" s="8">
        <f>'Cash Dividend'!P29/'Price Data'!P29</f>
        <v>0</v>
      </c>
      <c r="Q29" s="8">
        <f>'Cash Dividend'!Q29/'Price Data'!Q29</f>
        <v>0</v>
      </c>
      <c r="R29" s="8">
        <f>'Cash Dividend'!R29/'Price Data'!R29</f>
        <v>0</v>
      </c>
      <c r="S29" s="8">
        <f>'Cash Dividend'!S29/'Price Data'!S29</f>
        <v>0</v>
      </c>
      <c r="T29" s="8">
        <f>'Cash Dividend'!T29/'Price Data'!T29</f>
        <v>0</v>
      </c>
      <c r="U29" s="8">
        <f>'Cash Dividend'!U29/'Price Data'!U29</f>
        <v>1.2594458438287154E-2</v>
      </c>
      <c r="V29" s="8">
        <f>'Cash Dividend'!V29/'Price Data'!V29</f>
        <v>0</v>
      </c>
    </row>
    <row r="30" spans="1:22">
      <c r="A30" s="167"/>
      <c r="B30" s="16" t="s">
        <v>16</v>
      </c>
      <c r="C30" s="8">
        <f>'Cash Dividend'!C30/'Price Data'!C30</f>
        <v>0</v>
      </c>
      <c r="D30" s="8">
        <f>'Cash Dividend'!D30/'Price Data'!D30</f>
        <v>0</v>
      </c>
      <c r="E30" s="8">
        <f>'Cash Dividend'!E30/'Price Data'!E30</f>
        <v>0</v>
      </c>
      <c r="F30" s="8">
        <f>'Cash Dividend'!F30/'Price Data'!F30</f>
        <v>0</v>
      </c>
      <c r="G30" s="8">
        <f>'Cash Dividend'!G30/'Price Data'!G30</f>
        <v>0</v>
      </c>
      <c r="H30" s="8">
        <f>'Cash Dividend'!H30/'Price Data'!H30</f>
        <v>0</v>
      </c>
      <c r="I30" s="8">
        <f>'Cash Dividend'!I30/'Price Data'!I30</f>
        <v>2.9027576197387515E-2</v>
      </c>
      <c r="J30" s="8">
        <f>'Cash Dividend'!J30/'Price Data'!J30</f>
        <v>1.0179153094462541E-3</v>
      </c>
      <c r="K30" s="8">
        <f>'Cash Dividend'!K30/'Price Data'!K30</f>
        <v>4.1899441340782127E-2</v>
      </c>
      <c r="L30" s="8">
        <f>'Cash Dividend'!L30/'Price Data'!L30</f>
        <v>1.9305019305019305E-2</v>
      </c>
      <c r="M30" s="8">
        <f>'Cash Dividend'!M30/'Price Data'!M30</f>
        <v>0</v>
      </c>
      <c r="N30" s="8">
        <f>'Cash Dividend'!N30/'Price Data'!N30</f>
        <v>0</v>
      </c>
      <c r="O30" s="8">
        <f>'Cash Dividend'!O30/'Price Data'!O30</f>
        <v>0</v>
      </c>
      <c r="P30" s="8">
        <f>'Cash Dividend'!P30/'Price Data'!P30</f>
        <v>0</v>
      </c>
      <c r="Q30" s="8">
        <f>'Cash Dividend'!Q30/'Price Data'!Q30</f>
        <v>5.1317842187371702E-3</v>
      </c>
      <c r="R30" s="8">
        <f>'Cash Dividend'!R30/'Price Data'!R30</f>
        <v>0</v>
      </c>
      <c r="S30" s="8">
        <f>'Cash Dividend'!S30/'Price Data'!S30</f>
        <v>0</v>
      </c>
      <c r="T30" s="8">
        <f>'Cash Dividend'!T30/'Price Data'!T30</f>
        <v>1.2987012987012988E-2</v>
      </c>
      <c r="U30" s="8">
        <f>'Cash Dividend'!U30/'Price Data'!U30</f>
        <v>0</v>
      </c>
      <c r="V30" s="8">
        <f>'Cash Dividend'!V30/'Price Data'!V30</f>
        <v>0</v>
      </c>
    </row>
    <row r="31" spans="1:22">
      <c r="A31" s="167"/>
      <c r="B31" s="16" t="s">
        <v>17</v>
      </c>
      <c r="C31" s="8">
        <f>'Cash Dividend'!C31/'Price Data'!C31</f>
        <v>0</v>
      </c>
      <c r="D31" s="8">
        <f>'Cash Dividend'!D31/'Price Data'!D31</f>
        <v>0</v>
      </c>
      <c r="E31" s="8">
        <f>'Cash Dividend'!E31/'Price Data'!E31</f>
        <v>0</v>
      </c>
      <c r="F31" s="8">
        <f>'Cash Dividend'!F31/'Price Data'!F31</f>
        <v>0</v>
      </c>
      <c r="G31" s="8">
        <f>'Cash Dividend'!G31/'Price Data'!G31</f>
        <v>0</v>
      </c>
      <c r="H31" s="8">
        <f>'Cash Dividend'!H31/'Price Data'!H31</f>
        <v>0</v>
      </c>
      <c r="I31" s="8">
        <f>'Cash Dividend'!I31/'Price Data'!I31</f>
        <v>0</v>
      </c>
      <c r="J31" s="8">
        <f>'Cash Dividend'!J31/'Price Data'!J31</f>
        <v>0</v>
      </c>
      <c r="K31" s="8">
        <f>'Cash Dividend'!K31/'Price Data'!K31</f>
        <v>0</v>
      </c>
      <c r="L31" s="8">
        <f>'Cash Dividend'!L31/'Price Data'!L31</f>
        <v>0</v>
      </c>
      <c r="M31" s="8">
        <f>'Cash Dividend'!M31/'Price Data'!M31</f>
        <v>0</v>
      </c>
      <c r="N31" s="8">
        <f>'Cash Dividend'!N31/'Price Data'!N31</f>
        <v>5.6179775280898875E-3</v>
      </c>
      <c r="O31" s="8">
        <f>'Cash Dividend'!O31/'Price Data'!O31</f>
        <v>0</v>
      </c>
      <c r="P31" s="8">
        <f>'Cash Dividend'!P31/'Price Data'!P31</f>
        <v>0</v>
      </c>
      <c r="Q31" s="8">
        <f>'Cash Dividend'!Q31/'Price Data'!Q31</f>
        <v>0</v>
      </c>
      <c r="R31" s="8">
        <f>'Cash Dividend'!R31/'Price Data'!R31</f>
        <v>0</v>
      </c>
      <c r="S31" s="8">
        <f>'Cash Dividend'!S31/'Price Data'!S31</f>
        <v>0</v>
      </c>
      <c r="T31" s="8">
        <f>'Cash Dividend'!T31/'Price Data'!T31</f>
        <v>0</v>
      </c>
      <c r="U31" s="8">
        <f>'Cash Dividend'!U31/'Price Data'!U31</f>
        <v>0</v>
      </c>
      <c r="V31" s="8">
        <f>'Cash Dividend'!V31/'Price Data'!V31</f>
        <v>7.71513353115727E-2</v>
      </c>
    </row>
    <row r="32" spans="1:22">
      <c r="A32" s="166">
        <v>2024</v>
      </c>
      <c r="B32" s="15" t="s">
        <v>18</v>
      </c>
      <c r="C32" s="8">
        <f>'Cash Dividend'!C32/'Price Data'!C32</f>
        <v>0</v>
      </c>
      <c r="D32" s="8">
        <f>'Cash Dividend'!D32/'Price Data'!D32</f>
        <v>0</v>
      </c>
      <c r="E32" s="8">
        <f>'Cash Dividend'!E32/'Price Data'!E32</f>
        <v>0</v>
      </c>
      <c r="F32" s="8">
        <f>'Cash Dividend'!F32/'Price Data'!F32</f>
        <v>0</v>
      </c>
      <c r="G32" s="8">
        <f>'Cash Dividend'!G32/'Price Data'!G32</f>
        <v>0</v>
      </c>
      <c r="H32" s="8">
        <f>'Cash Dividend'!H32/'Price Data'!H32</f>
        <v>0</v>
      </c>
      <c r="I32" s="8">
        <f>'Cash Dividend'!I32/'Price Data'!I32</f>
        <v>0</v>
      </c>
      <c r="J32" s="8">
        <f>'Cash Dividend'!J32/'Price Data'!J32</f>
        <v>0</v>
      </c>
      <c r="K32" s="8">
        <f>'Cash Dividend'!K32/'Price Data'!K32</f>
        <v>0</v>
      </c>
      <c r="L32" s="8">
        <f>'Cash Dividend'!L32/'Price Data'!L32</f>
        <v>0</v>
      </c>
      <c r="M32" s="8">
        <f>'Cash Dividend'!M32/'Price Data'!M32</f>
        <v>0</v>
      </c>
      <c r="N32" s="8">
        <f>'Cash Dividend'!N32/'Price Data'!N32</f>
        <v>0</v>
      </c>
      <c r="O32" s="8">
        <f>'Cash Dividend'!O32/'Price Data'!O32</f>
        <v>0</v>
      </c>
      <c r="P32" s="8">
        <f>'Cash Dividend'!P32/'Price Data'!P32</f>
        <v>0</v>
      </c>
      <c r="Q32" s="8">
        <f>'Cash Dividend'!Q32/'Price Data'!Q32</f>
        <v>0</v>
      </c>
      <c r="R32" s="8">
        <f>'Cash Dividend'!R32/'Price Data'!R32</f>
        <v>0</v>
      </c>
      <c r="S32" s="8">
        <f>'Cash Dividend'!S32/'Price Data'!S32</f>
        <v>0</v>
      </c>
      <c r="T32" s="8">
        <f>'Cash Dividend'!T32/'Price Data'!T32</f>
        <v>0</v>
      </c>
      <c r="U32" s="8">
        <f>'Cash Dividend'!U32/'Price Data'!U32</f>
        <v>0</v>
      </c>
      <c r="V32" s="8">
        <f>'Cash Dividend'!V32/'Price Data'!V32</f>
        <v>0</v>
      </c>
    </row>
    <row r="33" spans="1:22">
      <c r="A33" s="166"/>
      <c r="B33" s="15" t="s">
        <v>19</v>
      </c>
      <c r="C33" s="8">
        <f>'Cash Dividend'!C33/'Price Data'!C33</f>
        <v>0</v>
      </c>
      <c r="D33" s="8">
        <f>'Cash Dividend'!D33/'Price Data'!D33</f>
        <v>0</v>
      </c>
      <c r="E33" s="8">
        <f>'Cash Dividend'!E33/'Price Data'!E33</f>
        <v>0</v>
      </c>
      <c r="F33" s="8">
        <f>'Cash Dividend'!F33/'Price Data'!F33</f>
        <v>0</v>
      </c>
      <c r="G33" s="8">
        <f>'Cash Dividend'!G33/'Price Data'!G33</f>
        <v>0</v>
      </c>
      <c r="H33" s="8">
        <f>'Cash Dividend'!H33/'Price Data'!H33</f>
        <v>0</v>
      </c>
      <c r="I33" s="8">
        <f>'Cash Dividend'!I33/'Price Data'!I33</f>
        <v>0</v>
      </c>
      <c r="J33" s="8">
        <f>'Cash Dividend'!J33/'Price Data'!J33</f>
        <v>0</v>
      </c>
      <c r="K33" s="8">
        <f>'Cash Dividend'!K33/'Price Data'!K33</f>
        <v>0</v>
      </c>
      <c r="L33" s="8">
        <f>'Cash Dividend'!L33/'Price Data'!L33</f>
        <v>0</v>
      </c>
      <c r="M33" s="8">
        <f>'Cash Dividend'!M33/'Price Data'!M33</f>
        <v>0</v>
      </c>
      <c r="N33" s="8">
        <f>'Cash Dividend'!N33/'Price Data'!N33</f>
        <v>0</v>
      </c>
      <c r="O33" s="8">
        <f>'Cash Dividend'!O33/'Price Data'!O33</f>
        <v>4.3614794138171667E-2</v>
      </c>
      <c r="P33" s="8">
        <f>'Cash Dividend'!P33/'Price Data'!P33</f>
        <v>0</v>
      </c>
      <c r="Q33" s="8">
        <f>'Cash Dividend'!Q33/'Price Data'!Q33</f>
        <v>0</v>
      </c>
      <c r="R33" s="8">
        <f>'Cash Dividend'!R33/'Price Data'!R33</f>
        <v>0</v>
      </c>
      <c r="S33" s="8">
        <f>'Cash Dividend'!S33/'Price Data'!S33</f>
        <v>0</v>
      </c>
      <c r="T33" s="8">
        <f>'Cash Dividend'!T33/'Price Data'!T33</f>
        <v>0</v>
      </c>
      <c r="U33" s="8">
        <f>'Cash Dividend'!U33/'Price Data'!U33</f>
        <v>0</v>
      </c>
      <c r="V33" s="8">
        <f>'Cash Dividend'!V33/'Price Data'!V33</f>
        <v>0</v>
      </c>
    </row>
    <row r="34" spans="1:22">
      <c r="A34" s="166"/>
      <c r="B34" s="15" t="s">
        <v>20</v>
      </c>
      <c r="C34" s="8">
        <f>'Cash Dividend'!C34/'Price Data'!C34</f>
        <v>0</v>
      </c>
      <c r="D34" s="8">
        <f>'Cash Dividend'!D34/'Price Data'!D34</f>
        <v>0</v>
      </c>
      <c r="E34" s="8">
        <f>'Cash Dividend'!E34/'Price Data'!E34</f>
        <v>0</v>
      </c>
      <c r="F34" s="8">
        <f>'Cash Dividend'!F34/'Price Data'!F34</f>
        <v>0</v>
      </c>
      <c r="G34" s="8">
        <f>'Cash Dividend'!G34/'Price Data'!G34</f>
        <v>0</v>
      </c>
      <c r="H34" s="8">
        <f>'Cash Dividend'!H34/'Price Data'!H34</f>
        <v>0</v>
      </c>
      <c r="I34" s="8">
        <f>'Cash Dividend'!I34/'Price Data'!I34</f>
        <v>0</v>
      </c>
      <c r="J34" s="8">
        <f>'Cash Dividend'!J34/'Price Data'!J34</f>
        <v>0</v>
      </c>
      <c r="K34" s="8">
        <f>'Cash Dividend'!K34/'Price Data'!K34</f>
        <v>0</v>
      </c>
      <c r="L34" s="8">
        <f>'Cash Dividend'!L34/'Price Data'!L34</f>
        <v>0</v>
      </c>
      <c r="M34" s="8">
        <f>'Cash Dividend'!M34/'Price Data'!M34</f>
        <v>0</v>
      </c>
      <c r="N34" s="8">
        <f>'Cash Dividend'!N34/'Price Data'!N34</f>
        <v>0</v>
      </c>
      <c r="O34" s="8">
        <f>'Cash Dividend'!O34/'Price Data'!O34</f>
        <v>0</v>
      </c>
      <c r="P34" s="8">
        <f>'Cash Dividend'!P34/'Price Data'!P34</f>
        <v>0</v>
      </c>
      <c r="Q34" s="8">
        <f>'Cash Dividend'!Q34/'Price Data'!Q34</f>
        <v>0</v>
      </c>
      <c r="R34" s="8">
        <f>'Cash Dividend'!R34/'Price Data'!R34</f>
        <v>0</v>
      </c>
      <c r="S34" s="8">
        <f>'Cash Dividend'!S34/'Price Data'!S34</f>
        <v>0</v>
      </c>
      <c r="T34" s="8">
        <f>'Cash Dividend'!T34/'Price Data'!T34</f>
        <v>0</v>
      </c>
      <c r="U34" s="8">
        <f>'Cash Dividend'!U34/'Price Data'!U34</f>
        <v>0</v>
      </c>
      <c r="V34" s="8">
        <f>'Cash Dividend'!V34/'Price Data'!V34</f>
        <v>0</v>
      </c>
    </row>
    <row r="35" spans="1:22">
      <c r="A35" s="166"/>
      <c r="B35" s="15" t="s">
        <v>21</v>
      </c>
      <c r="C35" s="8">
        <f>'Cash Dividend'!C35/'Price Data'!C35</f>
        <v>0</v>
      </c>
      <c r="D35" s="8">
        <f>'Cash Dividend'!D35/'Price Data'!D35</f>
        <v>0</v>
      </c>
      <c r="E35" s="8">
        <f>'Cash Dividend'!E35/'Price Data'!E35</f>
        <v>2.4084778420038533E-2</v>
      </c>
      <c r="F35" s="8">
        <f>'Cash Dividend'!F35/'Price Data'!F35</f>
        <v>4.0431266846361183E-2</v>
      </c>
      <c r="G35" s="8">
        <f>'Cash Dividend'!G35/'Price Data'!G35</f>
        <v>0</v>
      </c>
      <c r="H35" s="8">
        <f>'Cash Dividend'!H35/'Price Data'!H35</f>
        <v>0</v>
      </c>
      <c r="I35" s="8">
        <f>'Cash Dividend'!I35/'Price Data'!I35</f>
        <v>0</v>
      </c>
      <c r="J35" s="8">
        <f>'Cash Dividend'!J35/'Price Data'!J35</f>
        <v>0</v>
      </c>
      <c r="K35" s="8">
        <f>'Cash Dividend'!K35/'Price Data'!K35</f>
        <v>0</v>
      </c>
      <c r="L35" s="8">
        <f>'Cash Dividend'!L35/'Price Data'!L35</f>
        <v>0</v>
      </c>
      <c r="M35" s="8">
        <f>'Cash Dividend'!M35/'Price Data'!M35</f>
        <v>0</v>
      </c>
      <c r="N35" s="8">
        <f>'Cash Dividend'!N35/'Price Data'!N35</f>
        <v>0</v>
      </c>
      <c r="O35" s="8">
        <f>'Cash Dividend'!O35/'Price Data'!O35</f>
        <v>0</v>
      </c>
      <c r="P35" s="8">
        <f>'Cash Dividend'!P35/'Price Data'!P35</f>
        <v>0</v>
      </c>
      <c r="Q35" s="8">
        <f>'Cash Dividend'!Q35/'Price Data'!Q35</f>
        <v>0</v>
      </c>
      <c r="R35" s="8">
        <f>'Cash Dividend'!R35/'Price Data'!R35</f>
        <v>0</v>
      </c>
      <c r="S35" s="8">
        <f>'Cash Dividend'!S35/'Price Data'!S35</f>
        <v>1.2290777447540728E-2</v>
      </c>
      <c r="T35" s="8">
        <f>'Cash Dividend'!T35/'Price Data'!T35</f>
        <v>0</v>
      </c>
      <c r="U35" s="8">
        <f>'Cash Dividend'!U35/'Price Data'!U35</f>
        <v>0</v>
      </c>
      <c r="V35" s="8">
        <f>'Cash Dividend'!V35/'Price Data'!V35</f>
        <v>0</v>
      </c>
    </row>
    <row r="36" spans="1:22">
      <c r="A36" s="166"/>
      <c r="B36" s="15" t="s">
        <v>22</v>
      </c>
      <c r="C36" s="8">
        <f>'Cash Dividend'!C36/'Price Data'!C36</f>
        <v>3.8387715930902108E-2</v>
      </c>
      <c r="D36" s="8">
        <f>'Cash Dividend'!D36/'Price Data'!D36</f>
        <v>0</v>
      </c>
      <c r="E36" s="8">
        <f>'Cash Dividend'!E36/'Price Data'!E36</f>
        <v>0</v>
      </c>
      <c r="F36" s="8">
        <f>'Cash Dividend'!F36/'Price Data'!F36</f>
        <v>0</v>
      </c>
      <c r="G36" s="8">
        <f>'Cash Dividend'!G36/'Price Data'!G36</f>
        <v>1.8315018315018316E-2</v>
      </c>
      <c r="H36" s="8">
        <f>'Cash Dividend'!H36/'Price Data'!H36</f>
        <v>3.053435114503817E-2</v>
      </c>
      <c r="I36" s="8">
        <f>'Cash Dividend'!I36/'Price Data'!I36</f>
        <v>0</v>
      </c>
      <c r="J36" s="8">
        <f>'Cash Dividend'!J36/'Price Data'!J36</f>
        <v>0</v>
      </c>
      <c r="K36" s="8">
        <f>'Cash Dividend'!K36/'Price Data'!K36</f>
        <v>0</v>
      </c>
      <c r="L36" s="8">
        <f>'Cash Dividend'!L36/'Price Data'!L36</f>
        <v>0</v>
      </c>
      <c r="M36" s="8">
        <f>'Cash Dividend'!M36/'Price Data'!M36</f>
        <v>0</v>
      </c>
      <c r="N36" s="8">
        <f>'Cash Dividend'!N36/'Price Data'!N36</f>
        <v>0</v>
      </c>
      <c r="O36" s="8">
        <f>'Cash Dividend'!O36/'Price Data'!O36</f>
        <v>0</v>
      </c>
      <c r="P36" s="8">
        <f>'Cash Dividend'!P36/'Price Data'!P36</f>
        <v>0</v>
      </c>
      <c r="Q36" s="8">
        <f>'Cash Dividend'!Q36/'Price Data'!Q36</f>
        <v>0</v>
      </c>
      <c r="R36" s="8">
        <f>'Cash Dividend'!R36/'Price Data'!R36</f>
        <v>9.9636327404971862E-3</v>
      </c>
      <c r="S36" s="8">
        <f>'Cash Dividend'!S36/'Price Data'!S36</f>
        <v>0</v>
      </c>
      <c r="T36" s="8">
        <f>'Cash Dividend'!T36/'Price Data'!T36</f>
        <v>0</v>
      </c>
      <c r="U36" s="8">
        <f>'Cash Dividend'!U36/'Price Data'!U36</f>
        <v>0</v>
      </c>
      <c r="V36" s="8">
        <f>'Cash Dividend'!V36/'Price Data'!V36</f>
        <v>0</v>
      </c>
    </row>
    <row r="37" spans="1:22">
      <c r="A37" s="166"/>
      <c r="B37" s="15" t="s">
        <v>23</v>
      </c>
      <c r="C37" s="8">
        <f>'Cash Dividend'!C37/'Price Data'!C37</f>
        <v>0</v>
      </c>
      <c r="D37" s="8">
        <f>'Cash Dividend'!D37/'Price Data'!D37</f>
        <v>0.12244897959183672</v>
      </c>
      <c r="E37" s="8">
        <f>'Cash Dividend'!E37/'Price Data'!E37</f>
        <v>0</v>
      </c>
      <c r="F37" s="8">
        <f>'Cash Dividend'!F37/'Price Data'!F37</f>
        <v>0</v>
      </c>
      <c r="G37" s="8">
        <f>'Cash Dividend'!G37/'Price Data'!G37</f>
        <v>0</v>
      </c>
      <c r="H37" s="8">
        <f>'Cash Dividend'!H37/'Price Data'!H37</f>
        <v>0</v>
      </c>
      <c r="I37" s="8">
        <f>'Cash Dividend'!I37/'Price Data'!I37</f>
        <v>0</v>
      </c>
      <c r="J37" s="8">
        <f>'Cash Dividend'!J37/'Price Data'!J37</f>
        <v>0</v>
      </c>
      <c r="K37" s="8">
        <f>'Cash Dividend'!K37/'Price Data'!K37</f>
        <v>0</v>
      </c>
      <c r="L37" s="8">
        <f>'Cash Dividend'!L37/'Price Data'!L37</f>
        <v>0</v>
      </c>
      <c r="M37" s="8">
        <f>'Cash Dividend'!M37/'Price Data'!M37</f>
        <v>0</v>
      </c>
      <c r="N37" s="8">
        <f>'Cash Dividend'!N37/'Price Data'!N37</f>
        <v>0</v>
      </c>
      <c r="O37" s="8">
        <f>'Cash Dividend'!O37/'Price Data'!O37</f>
        <v>0</v>
      </c>
      <c r="P37" s="8">
        <f>'Cash Dividend'!P37/'Price Data'!P37</f>
        <v>0</v>
      </c>
      <c r="Q37" s="8">
        <f>'Cash Dividend'!Q37/'Price Data'!Q37</f>
        <v>0</v>
      </c>
      <c r="R37" s="8">
        <f>'Cash Dividend'!R37/'Price Data'!R37</f>
        <v>0</v>
      </c>
      <c r="S37" s="8">
        <f>'Cash Dividend'!S37/'Price Data'!S37</f>
        <v>0</v>
      </c>
      <c r="T37" s="8">
        <f>'Cash Dividend'!T37/'Price Data'!T37</f>
        <v>0</v>
      </c>
      <c r="U37" s="8">
        <f>'Cash Dividend'!U37/'Price Data'!U37</f>
        <v>0</v>
      </c>
      <c r="V37" s="8">
        <f>'Cash Dividend'!V37/'Price Data'!V37</f>
        <v>0</v>
      </c>
    </row>
    <row r="38" spans="1:22">
      <c r="A38" s="166"/>
      <c r="B38" s="15" t="s">
        <v>24</v>
      </c>
      <c r="C38" s="8">
        <f>'Cash Dividend'!C38/'Price Data'!C38</f>
        <v>0</v>
      </c>
      <c r="D38" s="8">
        <f>'Cash Dividend'!D38/'Price Data'!D38</f>
        <v>0</v>
      </c>
      <c r="E38" s="8">
        <f>'Cash Dividend'!E38/'Price Data'!E38</f>
        <v>0</v>
      </c>
      <c r="F38" s="8">
        <f>'Cash Dividend'!F38/'Price Data'!F38</f>
        <v>0</v>
      </c>
      <c r="G38" s="8">
        <f>'Cash Dividend'!G38/'Price Data'!G38</f>
        <v>0</v>
      </c>
      <c r="H38" s="8">
        <f>'Cash Dividend'!H38/'Price Data'!H38</f>
        <v>0</v>
      </c>
      <c r="I38" s="8">
        <f>'Cash Dividend'!I38/'Price Data'!I38</f>
        <v>0</v>
      </c>
      <c r="J38" s="8">
        <f>'Cash Dividend'!J38/'Price Data'!J38</f>
        <v>0</v>
      </c>
      <c r="K38" s="8">
        <f>'Cash Dividend'!K38/'Price Data'!K38</f>
        <v>0</v>
      </c>
      <c r="L38" s="8">
        <f>'Cash Dividend'!L38/'Price Data'!L38</f>
        <v>0</v>
      </c>
      <c r="M38" s="8">
        <f>'Cash Dividend'!M38/'Price Data'!M38</f>
        <v>0</v>
      </c>
      <c r="N38" s="8">
        <f>'Cash Dividend'!N38/'Price Data'!N38</f>
        <v>0</v>
      </c>
      <c r="O38" s="8">
        <f>'Cash Dividend'!O38/'Price Data'!O38</f>
        <v>0</v>
      </c>
      <c r="P38" s="8">
        <f>'Cash Dividend'!P38/'Price Data'!P38</f>
        <v>0</v>
      </c>
      <c r="Q38" s="8">
        <f>'Cash Dividend'!Q38/'Price Data'!Q38</f>
        <v>0</v>
      </c>
      <c r="R38" s="8">
        <f>'Cash Dividend'!R38/'Price Data'!R38</f>
        <v>0</v>
      </c>
      <c r="S38" s="8">
        <f>'Cash Dividend'!S38/'Price Data'!S38</f>
        <v>0</v>
      </c>
      <c r="T38" s="8">
        <f>'Cash Dividend'!T38/'Price Data'!T38</f>
        <v>0</v>
      </c>
      <c r="U38" s="8">
        <f>'Cash Dividend'!U38/'Price Data'!U38</f>
        <v>0</v>
      </c>
      <c r="V38" s="8">
        <f>'Cash Dividend'!V38/'Price Data'!V38</f>
        <v>0</v>
      </c>
    </row>
    <row r="39" spans="1:22">
      <c r="A39" s="166"/>
      <c r="B39" s="15" t="s">
        <v>25</v>
      </c>
      <c r="C39" s="8">
        <f>'Cash Dividend'!C39/'Price Data'!C39</f>
        <v>0</v>
      </c>
      <c r="D39" s="8">
        <f>'Cash Dividend'!D39/'Price Data'!D39</f>
        <v>0</v>
      </c>
      <c r="E39" s="8">
        <f>'Cash Dividend'!E39/'Price Data'!E39</f>
        <v>0</v>
      </c>
      <c r="F39" s="8">
        <f>'Cash Dividend'!F39/'Price Data'!F39</f>
        <v>0</v>
      </c>
      <c r="G39" s="8">
        <f>'Cash Dividend'!G39/'Price Data'!G39</f>
        <v>0</v>
      </c>
      <c r="H39" s="8">
        <f>'Cash Dividend'!H39/'Price Data'!H39</f>
        <v>0</v>
      </c>
      <c r="I39" s="8">
        <f>'Cash Dividend'!I39/'Price Data'!I39</f>
        <v>0</v>
      </c>
      <c r="J39" s="8">
        <f>'Cash Dividend'!J39/'Price Data'!J39</f>
        <v>0</v>
      </c>
      <c r="K39" s="8">
        <f>'Cash Dividend'!K39/'Price Data'!K39</f>
        <v>0</v>
      </c>
      <c r="L39" s="8">
        <f>'Cash Dividend'!L39/'Price Data'!L39</f>
        <v>0</v>
      </c>
      <c r="M39" s="8">
        <f>'Cash Dividend'!M39/'Price Data'!M39</f>
        <v>0</v>
      </c>
      <c r="N39" s="8">
        <f>'Cash Dividend'!N39/'Price Data'!N39</f>
        <v>0</v>
      </c>
      <c r="O39" s="8">
        <f>'Cash Dividend'!O39/'Price Data'!O39</f>
        <v>0</v>
      </c>
      <c r="P39" s="8">
        <f>'Cash Dividend'!P39/'Price Data'!P39</f>
        <v>0</v>
      </c>
      <c r="Q39" s="8">
        <f>'Cash Dividend'!Q39/'Price Data'!Q39</f>
        <v>0</v>
      </c>
      <c r="R39" s="8">
        <f>'Cash Dividend'!R39/'Price Data'!R39</f>
        <v>0</v>
      </c>
      <c r="S39" s="8">
        <f>'Cash Dividend'!S39/'Price Data'!S39</f>
        <v>0</v>
      </c>
      <c r="T39" s="8">
        <f>'Cash Dividend'!T39/'Price Data'!T39</f>
        <v>0</v>
      </c>
      <c r="U39" s="8">
        <f>'Cash Dividend'!U39/'Price Data'!U39</f>
        <v>0</v>
      </c>
      <c r="V39" s="8">
        <f>'Cash Dividend'!V39/'Price Data'!V39</f>
        <v>0</v>
      </c>
    </row>
    <row r="40" spans="1:22">
      <c r="A40" s="166"/>
      <c r="B40" s="15" t="s">
        <v>26</v>
      </c>
      <c r="C40" s="8">
        <f>'Cash Dividend'!C40/'Price Data'!C40</f>
        <v>0</v>
      </c>
      <c r="D40" s="8">
        <f>'Cash Dividend'!D40/'Price Data'!D40</f>
        <v>0</v>
      </c>
      <c r="E40" s="8">
        <f>'Cash Dividend'!E40/'Price Data'!E40</f>
        <v>0</v>
      </c>
      <c r="F40" s="8">
        <f>'Cash Dividend'!F40/'Price Data'!F40</f>
        <v>0</v>
      </c>
      <c r="G40" s="8">
        <f>'Cash Dividend'!G40/'Price Data'!G40</f>
        <v>0</v>
      </c>
      <c r="H40" s="8">
        <f>'Cash Dividend'!H40/'Price Data'!H40</f>
        <v>0</v>
      </c>
      <c r="I40" s="8">
        <f>'Cash Dividend'!I40/'Price Data'!I40</f>
        <v>0</v>
      </c>
      <c r="J40" s="8">
        <f>'Cash Dividend'!J40/'Price Data'!J40</f>
        <v>0</v>
      </c>
      <c r="K40" s="8">
        <f>'Cash Dividend'!K40/'Price Data'!K40</f>
        <v>0</v>
      </c>
      <c r="L40" s="8">
        <f>'Cash Dividend'!L40/'Price Data'!L40</f>
        <v>0</v>
      </c>
      <c r="M40" s="8">
        <f>'Cash Dividend'!M40/'Price Data'!M40</f>
        <v>0</v>
      </c>
      <c r="N40" s="8">
        <f>'Cash Dividend'!N40/'Price Data'!N40</f>
        <v>1.6920473773265651E-2</v>
      </c>
      <c r="O40" s="8">
        <f>'Cash Dividend'!O40/'Price Data'!O40</f>
        <v>0</v>
      </c>
      <c r="P40" s="8">
        <f>'Cash Dividend'!P40/'Price Data'!P40</f>
        <v>0</v>
      </c>
      <c r="Q40" s="8">
        <f>'Cash Dividend'!Q40/'Price Data'!Q40</f>
        <v>0</v>
      </c>
      <c r="R40" s="8">
        <f>'Cash Dividend'!R40/'Price Data'!R40</f>
        <v>0</v>
      </c>
      <c r="S40" s="8">
        <f>'Cash Dividend'!S40/'Price Data'!S40</f>
        <v>0</v>
      </c>
      <c r="T40" s="8">
        <f>'Cash Dividend'!T40/'Price Data'!T40</f>
        <v>0</v>
      </c>
      <c r="U40" s="8">
        <f>'Cash Dividend'!U40/'Price Data'!U40</f>
        <v>0</v>
      </c>
      <c r="V40" s="8">
        <f>'Cash Dividend'!V40/'Price Data'!V40</f>
        <v>0</v>
      </c>
    </row>
    <row r="41" spans="1:22">
      <c r="A41" s="166"/>
      <c r="B41" s="15" t="s">
        <v>15</v>
      </c>
      <c r="C41" s="8">
        <f>'Cash Dividend'!C41/'Price Data'!C41</f>
        <v>0</v>
      </c>
      <c r="D41" s="8">
        <f>'Cash Dividend'!D41/'Price Data'!D41</f>
        <v>0</v>
      </c>
      <c r="E41" s="8">
        <f>'Cash Dividend'!E41/'Price Data'!E41</f>
        <v>0</v>
      </c>
      <c r="F41" s="8">
        <f>'Cash Dividend'!F41/'Price Data'!F41</f>
        <v>0</v>
      </c>
      <c r="G41" s="8">
        <f>'Cash Dividend'!G41/'Price Data'!G41</f>
        <v>0</v>
      </c>
      <c r="H41" s="8">
        <f>'Cash Dividend'!H41/'Price Data'!H41</f>
        <v>0</v>
      </c>
      <c r="I41" s="8">
        <f>'Cash Dividend'!I41/'Price Data'!I41</f>
        <v>0</v>
      </c>
      <c r="J41" s="8">
        <f>'Cash Dividend'!J41/'Price Data'!J41</f>
        <v>0</v>
      </c>
      <c r="K41" s="8">
        <f>'Cash Dividend'!K41/'Price Data'!K41</f>
        <v>0</v>
      </c>
      <c r="L41" s="8">
        <f>'Cash Dividend'!L41/'Price Data'!L41</f>
        <v>0</v>
      </c>
      <c r="M41" s="8">
        <f>'Cash Dividend'!M41/'Price Data'!M41</f>
        <v>2.1541112752338751E-2</v>
      </c>
      <c r="N41" s="8">
        <f>'Cash Dividend'!N41/'Price Data'!N41</f>
        <v>0</v>
      </c>
      <c r="O41" s="8">
        <f>'Cash Dividend'!O41/'Price Data'!O41</f>
        <v>0</v>
      </c>
      <c r="P41" s="8">
        <f>'Cash Dividend'!P41/'Price Data'!P41</f>
        <v>2.0581509310682783E-2</v>
      </c>
      <c r="Q41" s="8">
        <f>'Cash Dividend'!Q41/'Price Data'!Q41</f>
        <v>1.3731343283582088E-2</v>
      </c>
      <c r="R41" s="8">
        <f>'Cash Dividend'!R41/'Price Data'!R41</f>
        <v>0</v>
      </c>
      <c r="S41" s="8">
        <f>'Cash Dividend'!S41/'Price Data'!S41</f>
        <v>0</v>
      </c>
      <c r="T41" s="8">
        <f>'Cash Dividend'!T41/'Price Data'!T41</f>
        <v>0</v>
      </c>
      <c r="U41" s="8">
        <f>'Cash Dividend'!U41/'Price Data'!U41</f>
        <v>0</v>
      </c>
      <c r="V41" s="8">
        <f>'Cash Dividend'!V41/'Price Data'!V41</f>
        <v>0</v>
      </c>
    </row>
    <row r="42" spans="1:22">
      <c r="A42" s="166"/>
      <c r="B42" s="15" t="s">
        <v>16</v>
      </c>
      <c r="C42" s="8">
        <f>'Cash Dividend'!C42/'Price Data'!C42</f>
        <v>0</v>
      </c>
      <c r="D42" s="8">
        <f>'Cash Dividend'!D42/'Price Data'!D42</f>
        <v>0</v>
      </c>
      <c r="E42" s="8">
        <f>'Cash Dividend'!E42/'Price Data'!E42</f>
        <v>0</v>
      </c>
      <c r="F42" s="8">
        <f>'Cash Dividend'!F42/'Price Data'!F42</f>
        <v>0</v>
      </c>
      <c r="G42" s="8">
        <f>'Cash Dividend'!G42/'Price Data'!G42</f>
        <v>0</v>
      </c>
      <c r="H42" s="8">
        <f>'Cash Dividend'!H42/'Price Data'!H42</f>
        <v>0</v>
      </c>
      <c r="I42" s="8">
        <f>'Cash Dividend'!I42/'Price Data'!I42</f>
        <v>1.1223344556677891E-2</v>
      </c>
      <c r="J42" s="8">
        <f>'Cash Dividend'!J42/'Price Data'!J42</f>
        <v>0</v>
      </c>
      <c r="K42" s="8">
        <f>'Cash Dividend'!K42/'Price Data'!K42</f>
        <v>6.4935064935064939E-3</v>
      </c>
      <c r="L42" s="8">
        <f>'Cash Dividend'!L42/'Price Data'!L42</f>
        <v>3.875968992248062E-2</v>
      </c>
      <c r="M42" s="8">
        <f>'Cash Dividend'!M42/'Price Data'!M42</f>
        <v>0</v>
      </c>
      <c r="N42" s="8">
        <f>'Cash Dividend'!N42/'Price Data'!N42</f>
        <v>0</v>
      </c>
      <c r="O42" s="8">
        <f>'Cash Dividend'!O42/'Price Data'!O42</f>
        <v>0</v>
      </c>
      <c r="P42" s="8">
        <f>'Cash Dividend'!P42/'Price Data'!P42</f>
        <v>0</v>
      </c>
      <c r="Q42" s="8">
        <f>'Cash Dividend'!Q42/'Price Data'!Q42</f>
        <v>0</v>
      </c>
      <c r="R42" s="8">
        <f>'Cash Dividend'!R42/'Price Data'!R42</f>
        <v>0</v>
      </c>
      <c r="S42" s="8">
        <f>'Cash Dividend'!S42/'Price Data'!S42</f>
        <v>0</v>
      </c>
      <c r="T42" s="8">
        <f>'Cash Dividend'!T42/'Price Data'!T42</f>
        <v>1.3550135501355014E-2</v>
      </c>
      <c r="U42" s="8">
        <f>'Cash Dividend'!U42/'Price Data'!U42</f>
        <v>1.1750881316098707E-2</v>
      </c>
      <c r="V42" s="8">
        <f>'Cash Dividend'!V42/'Price Data'!V42</f>
        <v>0</v>
      </c>
    </row>
    <row r="43" spans="1:22">
      <c r="A43" s="166"/>
      <c r="B43" s="15" t="s">
        <v>17</v>
      </c>
      <c r="C43" s="8">
        <f>'Cash Dividend'!C43/'Price Data'!C43</f>
        <v>0</v>
      </c>
      <c r="D43" s="8">
        <f>'Cash Dividend'!D43/'Price Data'!D43</f>
        <v>0</v>
      </c>
      <c r="E43" s="8">
        <f>'Cash Dividend'!E43/'Price Data'!E43</f>
        <v>0</v>
      </c>
      <c r="F43" s="8">
        <f>'Cash Dividend'!F43/'Price Data'!F43</f>
        <v>0</v>
      </c>
      <c r="G43" s="8">
        <f>'Cash Dividend'!G43/'Price Data'!G43</f>
        <v>0</v>
      </c>
      <c r="H43" s="8">
        <f>'Cash Dividend'!H43/'Price Data'!H43</f>
        <v>0</v>
      </c>
      <c r="I43" s="8">
        <f>'Cash Dividend'!I43/'Price Data'!I43</f>
        <v>0</v>
      </c>
      <c r="J43" s="8">
        <f>'Cash Dividend'!J43/'Price Data'!J43</f>
        <v>4.4385264092321351E-3</v>
      </c>
      <c r="K43" s="8">
        <f>'Cash Dividend'!K43/'Price Data'!K43</f>
        <v>0</v>
      </c>
      <c r="L43" s="8">
        <f>'Cash Dividend'!L43/'Price Data'!L43</f>
        <v>0</v>
      </c>
      <c r="M43" s="8">
        <f>'Cash Dividend'!M43/'Price Data'!M43</f>
        <v>0</v>
      </c>
      <c r="N43" s="8">
        <f>'Cash Dividend'!N43/'Price Data'!N43</f>
        <v>0</v>
      </c>
      <c r="O43" s="8">
        <f>'Cash Dividend'!O43/'Price Data'!O43</f>
        <v>0</v>
      </c>
      <c r="P43" s="8">
        <f>'Cash Dividend'!P43/'Price Data'!P43</f>
        <v>0</v>
      </c>
      <c r="Q43" s="8">
        <f>'Cash Dividend'!Q43/'Price Data'!Q43</f>
        <v>0</v>
      </c>
      <c r="R43" s="8">
        <f>'Cash Dividend'!R43/'Price Data'!R43</f>
        <v>0</v>
      </c>
      <c r="S43" s="8">
        <f>'Cash Dividend'!S43/'Price Data'!S43</f>
        <v>0</v>
      </c>
      <c r="T43" s="8">
        <f>'Cash Dividend'!T43/'Price Data'!T43</f>
        <v>0</v>
      </c>
      <c r="U43" s="8">
        <f>'Cash Dividend'!U43/'Price Data'!U43</f>
        <v>0</v>
      </c>
      <c r="V43" s="8">
        <f>'Cash Dividend'!V43/'Price Data'!V43</f>
        <v>8.7514585764294051E-2</v>
      </c>
    </row>
    <row r="44" spans="1:22">
      <c r="A44" s="167">
        <v>2025</v>
      </c>
      <c r="B44" s="16" t="s">
        <v>18</v>
      </c>
      <c r="C44" s="8">
        <f>'Cash Dividend'!C44/'Price Data'!C44</f>
        <v>0</v>
      </c>
      <c r="D44" s="8">
        <f>'Cash Dividend'!D44/'Price Data'!D44</f>
        <v>0</v>
      </c>
      <c r="E44" s="8">
        <f>'Cash Dividend'!E44/'Price Data'!E44</f>
        <v>0</v>
      </c>
      <c r="F44" s="8">
        <f>'Cash Dividend'!F44/'Price Data'!F44</f>
        <v>0</v>
      </c>
      <c r="G44" s="8">
        <f>'Cash Dividend'!G44/'Price Data'!G44</f>
        <v>0</v>
      </c>
      <c r="H44" s="8">
        <f>'Cash Dividend'!H44/'Price Data'!H44</f>
        <v>0</v>
      </c>
      <c r="I44" s="8">
        <f>'Cash Dividend'!I44/'Price Data'!I44</f>
        <v>0</v>
      </c>
      <c r="J44" s="8">
        <f>'Cash Dividend'!J44/'Price Data'!J44</f>
        <v>0</v>
      </c>
      <c r="K44" s="8">
        <f>'Cash Dividend'!K44/'Price Data'!K44</f>
        <v>0</v>
      </c>
      <c r="L44" s="8">
        <f>'Cash Dividend'!L44/'Price Data'!L44</f>
        <v>0</v>
      </c>
      <c r="M44" s="8">
        <f>'Cash Dividend'!M44/'Price Data'!M44</f>
        <v>0</v>
      </c>
      <c r="N44" s="8">
        <f>'Cash Dividend'!N44/'Price Data'!N44</f>
        <v>0</v>
      </c>
      <c r="O44" s="8">
        <f>'Cash Dividend'!O44/'Price Data'!O44</f>
        <v>0</v>
      </c>
      <c r="P44" s="8">
        <f>'Cash Dividend'!P44/'Price Data'!P44</f>
        <v>0</v>
      </c>
      <c r="Q44" s="8">
        <f>'Cash Dividend'!Q44/'Price Data'!Q44</f>
        <v>0</v>
      </c>
      <c r="R44" s="8">
        <f>'Cash Dividend'!R44/'Price Data'!R44</f>
        <v>0</v>
      </c>
      <c r="S44" s="8">
        <f>'Cash Dividend'!S44/'Price Data'!S44</f>
        <v>0</v>
      </c>
      <c r="T44" s="8">
        <f>'Cash Dividend'!T44/'Price Data'!T44</f>
        <v>0</v>
      </c>
      <c r="U44" s="8">
        <f>'Cash Dividend'!U44/'Price Data'!U44</f>
        <v>0</v>
      </c>
      <c r="V44" s="8">
        <f>'Cash Dividend'!V44/'Price Data'!V44</f>
        <v>0</v>
      </c>
    </row>
    <row r="45" spans="1:22">
      <c r="A45" s="167"/>
      <c r="B45" s="16" t="s">
        <v>19</v>
      </c>
      <c r="C45" s="8">
        <f>'Cash Dividend'!C45/'Price Data'!C45</f>
        <v>0</v>
      </c>
      <c r="D45" s="8">
        <f>'Cash Dividend'!D45/'Price Data'!D45</f>
        <v>0</v>
      </c>
      <c r="E45" s="8">
        <f>'Cash Dividend'!E45/'Price Data'!E45</f>
        <v>0</v>
      </c>
      <c r="F45" s="8">
        <f>'Cash Dividend'!F45/'Price Data'!F45</f>
        <v>0</v>
      </c>
      <c r="G45" s="8">
        <f>'Cash Dividend'!G45/'Price Data'!G45</f>
        <v>0</v>
      </c>
      <c r="H45" s="8">
        <f>'Cash Dividend'!H45/'Price Data'!H45</f>
        <v>0</v>
      </c>
      <c r="I45" s="8">
        <f>'Cash Dividend'!I45/'Price Data'!I45</f>
        <v>0</v>
      </c>
      <c r="J45" s="8">
        <f>'Cash Dividend'!J45/'Price Data'!J45</f>
        <v>0</v>
      </c>
      <c r="K45" s="8">
        <f>'Cash Dividend'!K45/'Price Data'!K45</f>
        <v>0</v>
      </c>
      <c r="L45" s="8">
        <f>'Cash Dividend'!L45/'Price Data'!L45</f>
        <v>0</v>
      </c>
      <c r="M45" s="8">
        <f>'Cash Dividend'!M45/'Price Data'!M45</f>
        <v>0</v>
      </c>
      <c r="N45" s="8">
        <f>'Cash Dividend'!N45/'Price Data'!N45</f>
        <v>0</v>
      </c>
      <c r="O45" s="8">
        <f>'Cash Dividend'!O45/'Price Data'!O45</f>
        <v>0.10054844606946983</v>
      </c>
      <c r="P45" s="8">
        <f>'Cash Dividend'!P45/'Price Data'!P45</f>
        <v>0</v>
      </c>
      <c r="Q45" s="8">
        <f>'Cash Dividend'!Q45/'Price Data'!Q45</f>
        <v>0</v>
      </c>
      <c r="R45" s="8">
        <f>'Cash Dividend'!R45/'Price Data'!R45</f>
        <v>0</v>
      </c>
      <c r="S45" s="8">
        <f>'Cash Dividend'!S45/'Price Data'!S45</f>
        <v>0</v>
      </c>
      <c r="T45" s="8">
        <f>'Cash Dividend'!T45/'Price Data'!T45</f>
        <v>0</v>
      </c>
      <c r="U45" s="8">
        <f>'Cash Dividend'!U45/'Price Data'!U45</f>
        <v>0</v>
      </c>
      <c r="V45" s="8">
        <f>'Cash Dividend'!V45/'Price Data'!V45</f>
        <v>0</v>
      </c>
    </row>
    <row r="46" spans="1:22">
      <c r="A46" s="167"/>
      <c r="B46" s="16" t="s">
        <v>20</v>
      </c>
      <c r="C46" s="8">
        <f>'Cash Dividend'!C46/'Price Data'!C46</f>
        <v>0</v>
      </c>
      <c r="D46" s="8">
        <f>'Cash Dividend'!D46/'Price Data'!D46</f>
        <v>0</v>
      </c>
      <c r="E46" s="8">
        <f>'Cash Dividend'!E46/'Price Data'!E46</f>
        <v>0</v>
      </c>
      <c r="F46" s="8">
        <f>'Cash Dividend'!F46/'Price Data'!F46</f>
        <v>0</v>
      </c>
      <c r="G46" s="8">
        <f>'Cash Dividend'!G46/'Price Data'!G46</f>
        <v>0</v>
      </c>
      <c r="H46" s="8">
        <f>'Cash Dividend'!H46/'Price Data'!H46</f>
        <v>0</v>
      </c>
      <c r="I46" s="8">
        <f>'Cash Dividend'!I46/'Price Data'!I46</f>
        <v>0</v>
      </c>
      <c r="J46" s="8">
        <f>'Cash Dividend'!J46/'Price Data'!J46</f>
        <v>0</v>
      </c>
      <c r="K46" s="8">
        <f>'Cash Dividend'!K46/'Price Data'!K46</f>
        <v>0</v>
      </c>
      <c r="L46" s="8">
        <f>'Cash Dividend'!L46/'Price Data'!L46</f>
        <v>0</v>
      </c>
      <c r="M46" s="8">
        <f>'Cash Dividend'!M46/'Price Data'!M46</f>
        <v>0</v>
      </c>
      <c r="N46" s="8">
        <f>'Cash Dividend'!N46/'Price Data'!N46</f>
        <v>0</v>
      </c>
      <c r="O46" s="8">
        <f>'Cash Dividend'!O46/'Price Data'!O46</f>
        <v>0</v>
      </c>
      <c r="P46" s="8">
        <f>'Cash Dividend'!P46/'Price Data'!P46</f>
        <v>0</v>
      </c>
      <c r="Q46" s="8">
        <f>'Cash Dividend'!Q46/'Price Data'!Q46</f>
        <v>0</v>
      </c>
      <c r="R46" s="8">
        <f>'Cash Dividend'!R46/'Price Data'!R46</f>
        <v>0</v>
      </c>
      <c r="S46" s="8">
        <f>'Cash Dividend'!S46/'Price Data'!S46</f>
        <v>0</v>
      </c>
      <c r="T46" s="8">
        <f>'Cash Dividend'!T46/'Price Data'!T46</f>
        <v>0</v>
      </c>
      <c r="U46" s="8">
        <f>'Cash Dividend'!U46/'Price Data'!U46</f>
        <v>0</v>
      </c>
      <c r="V46" s="8">
        <f>'Cash Dividend'!V46/'Price Data'!V46</f>
        <v>0</v>
      </c>
    </row>
    <row r="47" spans="1:22">
      <c r="A47" s="167"/>
      <c r="B47" s="16" t="s">
        <v>21</v>
      </c>
      <c r="C47" s="8">
        <f>'Cash Dividend'!C47/'Price Data'!C47</f>
        <v>0</v>
      </c>
      <c r="D47" s="8">
        <f>'Cash Dividend'!D47/'Price Data'!D47</f>
        <v>0</v>
      </c>
      <c r="E47" s="8">
        <f>'Cash Dividend'!E47/'Price Data'!E47</f>
        <v>0</v>
      </c>
      <c r="F47" s="8">
        <f>'Cash Dividend'!F47/'Price Data'!F47</f>
        <v>0</v>
      </c>
      <c r="G47" s="8">
        <f>'Cash Dividend'!G47/'Price Data'!G47</f>
        <v>2.8735632183908049E-2</v>
      </c>
      <c r="H47" s="8">
        <f>'Cash Dividend'!H47/'Price Data'!H47</f>
        <v>0</v>
      </c>
      <c r="I47" s="8">
        <f>'Cash Dividend'!I47/'Price Data'!I47</f>
        <v>0</v>
      </c>
      <c r="J47" s="8">
        <f>'Cash Dividend'!J47/'Price Data'!J47</f>
        <v>0</v>
      </c>
      <c r="K47" s="8">
        <f>'Cash Dividend'!K47/'Price Data'!K47</f>
        <v>0</v>
      </c>
      <c r="L47" s="8">
        <f>'Cash Dividend'!L47/'Price Data'!L47</f>
        <v>0</v>
      </c>
      <c r="M47" s="8">
        <f>'Cash Dividend'!M47/'Price Data'!M47</f>
        <v>0</v>
      </c>
      <c r="N47" s="8">
        <f>'Cash Dividend'!N47/'Price Data'!N47</f>
        <v>0</v>
      </c>
      <c r="O47" s="8">
        <f>'Cash Dividend'!O47/'Price Data'!O47</f>
        <v>0</v>
      </c>
      <c r="P47" s="8">
        <f>'Cash Dividend'!P47/'Price Data'!P47</f>
        <v>0</v>
      </c>
      <c r="Q47" s="8">
        <f>'Cash Dividend'!Q47/'Price Data'!Q47</f>
        <v>0</v>
      </c>
      <c r="R47" s="8">
        <f>'Cash Dividend'!R47/'Price Data'!R47</f>
        <v>0</v>
      </c>
      <c r="S47" s="8">
        <f>'Cash Dividend'!S47/'Price Data'!S47</f>
        <v>9.0521108000108735E-2</v>
      </c>
      <c r="T47" s="8">
        <f>'Cash Dividend'!T47/'Price Data'!T47</f>
        <v>0</v>
      </c>
      <c r="U47" s="8">
        <f>'Cash Dividend'!U47/'Price Data'!U47</f>
        <v>0</v>
      </c>
      <c r="V47" s="8">
        <f>'Cash Dividend'!V47/'Price Data'!V47</f>
        <v>0</v>
      </c>
    </row>
    <row r="48" spans="1:22">
      <c r="A48" s="167"/>
      <c r="B48" s="16" t="s">
        <v>22</v>
      </c>
      <c r="C48" s="8">
        <f>'Cash Dividend'!C48/'Price Data'!C48</f>
        <v>3.125E-2</v>
      </c>
      <c r="D48" s="8">
        <f>'Cash Dividend'!D48/'Price Data'!D48</f>
        <v>0.1326530612244898</v>
      </c>
      <c r="E48" s="8">
        <f>'Cash Dividend'!E48/'Price Data'!E48</f>
        <v>3.6231884057971016E-2</v>
      </c>
      <c r="F48" s="8">
        <f>'Cash Dividend'!F48/'Price Data'!F48</f>
        <v>4.6875E-2</v>
      </c>
      <c r="G48" s="8">
        <f>'Cash Dividend'!G48/'Price Data'!G48</f>
        <v>0</v>
      </c>
      <c r="H48" s="8">
        <f>'Cash Dividend'!H48/'Price Data'!H48</f>
        <v>0</v>
      </c>
      <c r="I48" s="8">
        <f>'Cash Dividend'!I48/'Price Data'!I48</f>
        <v>0</v>
      </c>
      <c r="J48" s="8">
        <f>'Cash Dividend'!J48/'Price Data'!J48</f>
        <v>0</v>
      </c>
      <c r="K48" s="8">
        <f>'Cash Dividend'!K48/'Price Data'!K48</f>
        <v>0</v>
      </c>
      <c r="L48" s="8">
        <f>'Cash Dividend'!L48/'Price Data'!L48</f>
        <v>0</v>
      </c>
      <c r="M48" s="8">
        <f>'Cash Dividend'!M48/'Price Data'!M48</f>
        <v>0</v>
      </c>
      <c r="N48" s="8">
        <f>'Cash Dividend'!N48/'Price Data'!N48</f>
        <v>0</v>
      </c>
      <c r="O48" s="8">
        <f>'Cash Dividend'!O48/'Price Data'!O48</f>
        <v>0</v>
      </c>
      <c r="P48" s="8">
        <f>'Cash Dividend'!P48/'Price Data'!P48</f>
        <v>0</v>
      </c>
      <c r="Q48" s="8">
        <f>'Cash Dividend'!Q48/'Price Data'!Q48</f>
        <v>0</v>
      </c>
      <c r="R48" s="8">
        <f>'Cash Dividend'!R48/'Price Data'!R48</f>
        <v>0.16697830151758927</v>
      </c>
      <c r="S48" s="8">
        <f>'Cash Dividend'!S48/'Price Data'!S48</f>
        <v>0</v>
      </c>
      <c r="T48" s="8">
        <f>'Cash Dividend'!T48/'Price Data'!T48</f>
        <v>0</v>
      </c>
      <c r="U48" s="8">
        <f>'Cash Dividend'!U48/'Price Data'!U48</f>
        <v>0</v>
      </c>
      <c r="V48" s="8">
        <f>'Cash Dividend'!V48/'Price Data'!V48</f>
        <v>0</v>
      </c>
    </row>
    <row r="49" spans="1:22">
      <c r="A49" s="167"/>
      <c r="B49" s="16" t="s">
        <v>23</v>
      </c>
      <c r="C49" s="8">
        <f>'Cash Dividend'!C49/'Price Data'!C49</f>
        <v>0</v>
      </c>
      <c r="D49" s="8">
        <f>'Cash Dividend'!D49/'Price Data'!D49</f>
        <v>0</v>
      </c>
      <c r="E49" s="8">
        <f>'Cash Dividend'!E49/'Price Data'!E49</f>
        <v>0</v>
      </c>
      <c r="F49" s="8">
        <f>'Cash Dividend'!F49/'Price Data'!F49</f>
        <v>0</v>
      </c>
      <c r="G49" s="8">
        <f>'Cash Dividend'!G49/'Price Data'!G49</f>
        <v>0</v>
      </c>
      <c r="H49" s="8">
        <f>'Cash Dividend'!H49/'Price Data'!H49</f>
        <v>3.4602076124567477E-2</v>
      </c>
      <c r="I49" s="8">
        <f>'Cash Dividend'!I49/'Price Data'!I49</f>
        <v>0</v>
      </c>
      <c r="J49" s="8">
        <f>'Cash Dividend'!J49/'Price Data'!J49</f>
        <v>0</v>
      </c>
      <c r="K49" s="8">
        <f>'Cash Dividend'!K49/'Price Data'!K49</f>
        <v>0</v>
      </c>
      <c r="L49" s="8">
        <f>'Cash Dividend'!L49/'Price Data'!L49</f>
        <v>0</v>
      </c>
      <c r="M49" s="8">
        <f>'Cash Dividend'!M49/'Price Data'!M49</f>
        <v>0</v>
      </c>
      <c r="N49" s="8">
        <f>'Cash Dividend'!N49/'Price Data'!N49</f>
        <v>0</v>
      </c>
      <c r="O49" s="8">
        <f>'Cash Dividend'!O49/'Price Data'!O49</f>
        <v>0</v>
      </c>
      <c r="P49" s="8">
        <f>'Cash Dividend'!P49/'Price Data'!P49</f>
        <v>0</v>
      </c>
      <c r="Q49" s="8">
        <f>'Cash Dividend'!Q49/'Price Data'!Q49</f>
        <v>0</v>
      </c>
      <c r="R49" s="8">
        <f>'Cash Dividend'!R49/'Price Data'!R49</f>
        <v>0</v>
      </c>
      <c r="S49" s="8">
        <f>'Cash Dividend'!S49/'Price Data'!S49</f>
        <v>0</v>
      </c>
      <c r="T49" s="8">
        <f>'Cash Dividend'!T49/'Price Data'!T49</f>
        <v>0</v>
      </c>
      <c r="U49" s="8">
        <f>'Cash Dividend'!U49/'Price Data'!U49</f>
        <v>0</v>
      </c>
      <c r="V49" s="8">
        <f>'Cash Dividend'!V49/'Price Data'!V49</f>
        <v>0</v>
      </c>
    </row>
    <row r="50" spans="1:22">
      <c r="A50" s="167"/>
      <c r="B50" s="16" t="s">
        <v>24</v>
      </c>
      <c r="C50" s="8">
        <f>'Cash Dividend'!C50/'Price Data'!C50</f>
        <v>0</v>
      </c>
      <c r="D50" s="8">
        <f>'Cash Dividend'!D50/'Price Data'!D50</f>
        <v>0</v>
      </c>
      <c r="E50" s="8">
        <f>'Cash Dividend'!E50/'Price Data'!E50</f>
        <v>0</v>
      </c>
      <c r="F50" s="8">
        <f>'Cash Dividend'!F50/'Price Data'!F50</f>
        <v>0</v>
      </c>
      <c r="G50" s="8">
        <f>'Cash Dividend'!G50/'Price Data'!G50</f>
        <v>0</v>
      </c>
      <c r="H50" s="8">
        <f>'Cash Dividend'!H50/'Price Data'!H50</f>
        <v>0</v>
      </c>
      <c r="I50" s="8">
        <f>'Cash Dividend'!I50/'Price Data'!I50</f>
        <v>0</v>
      </c>
      <c r="J50" s="8">
        <f>'Cash Dividend'!J50/'Price Data'!J50</f>
        <v>0</v>
      </c>
      <c r="K50" s="8">
        <f>'Cash Dividend'!K50/'Price Data'!K50</f>
        <v>0</v>
      </c>
      <c r="L50" s="8">
        <f>'Cash Dividend'!L50/'Price Data'!L50</f>
        <v>0</v>
      </c>
      <c r="M50" s="8">
        <f>'Cash Dividend'!M50/'Price Data'!M50</f>
        <v>0</v>
      </c>
      <c r="N50" s="8">
        <f>'Cash Dividend'!N50/'Price Data'!N50</f>
        <v>0</v>
      </c>
      <c r="O50" s="8">
        <f>'Cash Dividend'!O50/'Price Data'!O50</f>
        <v>0</v>
      </c>
      <c r="P50" s="8">
        <f>'Cash Dividend'!P50/'Price Data'!P50</f>
        <v>0</v>
      </c>
      <c r="Q50" s="8">
        <f>'Cash Dividend'!Q50/'Price Data'!Q50</f>
        <v>0</v>
      </c>
      <c r="R50" s="8">
        <f>'Cash Dividend'!R50/'Price Data'!R50</f>
        <v>0</v>
      </c>
      <c r="S50" s="8">
        <f>'Cash Dividend'!S50/'Price Data'!S50</f>
        <v>0</v>
      </c>
      <c r="T50" s="8">
        <f>'Cash Dividend'!T50/'Price Data'!T50</f>
        <v>0</v>
      </c>
      <c r="U50" s="8">
        <f>'Cash Dividend'!U50/'Price Data'!U50</f>
        <v>0</v>
      </c>
      <c r="V50" s="8">
        <f>'Cash Dividend'!V50/'Price Data'!V50</f>
        <v>0</v>
      </c>
    </row>
    <row r="51" spans="1:22">
      <c r="A51" s="167"/>
      <c r="B51" s="16" t="s">
        <v>25</v>
      </c>
      <c r="C51" s="8">
        <f>'Cash Dividend'!C51/'Price Data'!C51</f>
        <v>0</v>
      </c>
      <c r="D51" s="8">
        <f>'Cash Dividend'!D51/'Price Data'!D51</f>
        <v>0</v>
      </c>
      <c r="E51" s="8">
        <f>'Cash Dividend'!E51/'Price Data'!E51</f>
        <v>0</v>
      </c>
      <c r="F51" s="8">
        <f>'Cash Dividend'!F51/'Price Data'!F51</f>
        <v>0</v>
      </c>
      <c r="G51" s="8">
        <f>'Cash Dividend'!G51/'Price Data'!G51</f>
        <v>0</v>
      </c>
      <c r="H51" s="8">
        <f>'Cash Dividend'!H51/'Price Data'!H51</f>
        <v>0</v>
      </c>
      <c r="I51" s="8">
        <f>'Cash Dividend'!I51/'Price Data'!I51</f>
        <v>0</v>
      </c>
      <c r="J51" s="8">
        <f>'Cash Dividend'!J51/'Price Data'!J51</f>
        <v>0</v>
      </c>
      <c r="K51" s="8">
        <f>'Cash Dividend'!K51/'Price Data'!K51</f>
        <v>0</v>
      </c>
      <c r="L51" s="8">
        <f>'Cash Dividend'!L51/'Price Data'!L51</f>
        <v>0</v>
      </c>
      <c r="M51" s="8">
        <f>'Cash Dividend'!M51/'Price Data'!M51</f>
        <v>0</v>
      </c>
      <c r="N51" s="8">
        <f>'Cash Dividend'!N51/'Price Data'!N51</f>
        <v>0</v>
      </c>
      <c r="O51" s="8">
        <f>'Cash Dividend'!O51/'Price Data'!O51</f>
        <v>0</v>
      </c>
      <c r="P51" s="8">
        <f>'Cash Dividend'!P51/'Price Data'!P51</f>
        <v>0</v>
      </c>
      <c r="Q51" s="8">
        <f>'Cash Dividend'!Q51/'Price Data'!Q51</f>
        <v>0</v>
      </c>
      <c r="R51" s="8">
        <f>'Cash Dividend'!R51/'Price Data'!R51</f>
        <v>0</v>
      </c>
      <c r="S51" s="8">
        <f>'Cash Dividend'!S51/'Price Data'!S51</f>
        <v>0</v>
      </c>
      <c r="T51" s="8">
        <f>'Cash Dividend'!T51/'Price Data'!T51</f>
        <v>0</v>
      </c>
      <c r="U51" s="8">
        <f>'Cash Dividend'!U51/'Price Data'!U51</f>
        <v>0</v>
      </c>
      <c r="V51" s="8">
        <f>'Cash Dividend'!V51/'Price Data'!V51</f>
        <v>0</v>
      </c>
    </row>
    <row r="52" spans="1:22">
      <c r="A52" s="167"/>
      <c r="B52" s="16" t="s">
        <v>26</v>
      </c>
      <c r="C52" s="8">
        <f>'Cash Dividend'!C52/'Price Data'!C52</f>
        <v>0</v>
      </c>
      <c r="D52" s="8">
        <f>'Cash Dividend'!D52/'Price Data'!D52</f>
        <v>0</v>
      </c>
      <c r="E52" s="8">
        <f>'Cash Dividend'!E52/'Price Data'!E52</f>
        <v>0</v>
      </c>
      <c r="F52" s="8">
        <f>'Cash Dividend'!F52/'Price Data'!F52</f>
        <v>0</v>
      </c>
      <c r="G52" s="8">
        <f>'Cash Dividend'!G52/'Price Data'!G52</f>
        <v>0</v>
      </c>
      <c r="H52" s="8">
        <f>'Cash Dividend'!H52/'Price Data'!H52</f>
        <v>0</v>
      </c>
      <c r="I52" s="8">
        <f>'Cash Dividend'!I52/'Price Data'!I52</f>
        <v>0</v>
      </c>
      <c r="J52" s="8">
        <f>'Cash Dividend'!J52/'Price Data'!J52</f>
        <v>0</v>
      </c>
      <c r="K52" s="8">
        <f>'Cash Dividend'!K52/'Price Data'!K52</f>
        <v>0</v>
      </c>
      <c r="L52" s="8">
        <f>'Cash Dividend'!L52/'Price Data'!L52</f>
        <v>0</v>
      </c>
      <c r="M52" s="8">
        <f>'Cash Dividend'!M52/'Price Data'!M52</f>
        <v>0</v>
      </c>
      <c r="N52" s="8">
        <f>'Cash Dividend'!N52/'Price Data'!N52</f>
        <v>0</v>
      </c>
      <c r="O52" s="8">
        <f>'Cash Dividend'!O52/'Price Data'!O52</f>
        <v>0</v>
      </c>
      <c r="P52" s="8">
        <f>'Cash Dividend'!P52/'Price Data'!P52</f>
        <v>0</v>
      </c>
      <c r="Q52" s="8">
        <f>'Cash Dividend'!Q52/'Price Data'!Q52</f>
        <v>0</v>
      </c>
      <c r="R52" s="8">
        <f>'Cash Dividend'!R52/'Price Data'!R52</f>
        <v>0</v>
      </c>
      <c r="S52" s="8">
        <f>'Cash Dividend'!S52/'Price Data'!S52</f>
        <v>0</v>
      </c>
      <c r="T52" s="8">
        <f>'Cash Dividend'!T52/'Price Data'!T52</f>
        <v>0</v>
      </c>
      <c r="U52" s="8">
        <f>'Cash Dividend'!U52/'Price Data'!U52</f>
        <v>0</v>
      </c>
      <c r="V52" s="8">
        <f>'Cash Dividend'!V52/'Price Data'!V52</f>
        <v>0</v>
      </c>
    </row>
    <row r="53" spans="1:22">
      <c r="A53" s="167"/>
      <c r="B53" s="16" t="s">
        <v>15</v>
      </c>
      <c r="C53" s="8">
        <f>'Cash Dividend'!C53/'Price Data'!C53</f>
        <v>0</v>
      </c>
      <c r="D53" s="8">
        <f>'Cash Dividend'!D53/'Price Data'!D53</f>
        <v>0</v>
      </c>
      <c r="E53" s="8">
        <f>'Cash Dividend'!E53/'Price Data'!E53</f>
        <v>0</v>
      </c>
      <c r="F53" s="8">
        <f>'Cash Dividend'!F53/'Price Data'!F53</f>
        <v>0</v>
      </c>
      <c r="G53" s="8">
        <f>'Cash Dividend'!G53/'Price Data'!G53</f>
        <v>0</v>
      </c>
      <c r="H53" s="8">
        <f>'Cash Dividend'!H53/'Price Data'!H53</f>
        <v>0</v>
      </c>
      <c r="I53" s="8">
        <f>'Cash Dividend'!I53/'Price Data'!I53</f>
        <v>0</v>
      </c>
      <c r="J53" s="8">
        <f>'Cash Dividend'!J53/'Price Data'!J53</f>
        <v>0</v>
      </c>
      <c r="K53" s="8">
        <f>'Cash Dividend'!K53/'Price Data'!K53</f>
        <v>0</v>
      </c>
      <c r="L53" s="8">
        <f>'Cash Dividend'!L53/'Price Data'!L53</f>
        <v>0</v>
      </c>
      <c r="M53" s="8">
        <f>'Cash Dividend'!M53/'Price Data'!M53</f>
        <v>1.294665976178146E-2</v>
      </c>
      <c r="N53" s="8">
        <f>'Cash Dividend'!N53/'Price Data'!N53</f>
        <v>0</v>
      </c>
      <c r="O53" s="8">
        <f>'Cash Dividend'!O53/'Price Data'!O53</f>
        <v>0</v>
      </c>
      <c r="P53" s="8">
        <f>'Cash Dividend'!P53/'Price Data'!P53</f>
        <v>2.1940349674322936E-2</v>
      </c>
      <c r="Q53" s="8">
        <f>'Cash Dividend'!Q53/'Price Data'!Q53</f>
        <v>0</v>
      </c>
      <c r="R53" s="8">
        <f>'Cash Dividend'!R53/'Price Data'!R53</f>
        <v>0</v>
      </c>
      <c r="S53" s="8">
        <f>'Cash Dividend'!S53/'Price Data'!S53</f>
        <v>0</v>
      </c>
      <c r="T53" s="8">
        <f>'Cash Dividend'!T53/'Price Data'!T53</f>
        <v>0</v>
      </c>
      <c r="U53" s="8">
        <f>'Cash Dividend'!U53/'Price Data'!U53</f>
        <v>0</v>
      </c>
      <c r="V53" s="8">
        <f>'Cash Dividend'!V53/'Price Data'!V53</f>
        <v>0</v>
      </c>
    </row>
    <row r="54" spans="1:22">
      <c r="A54" s="167"/>
      <c r="B54" s="16" t="s">
        <v>16</v>
      </c>
      <c r="C54" s="8">
        <f>'Cash Dividend'!C54/'Price Data'!C54</f>
        <v>0</v>
      </c>
      <c r="D54" s="8">
        <f>'Cash Dividend'!D54/'Price Data'!D54</f>
        <v>0</v>
      </c>
      <c r="E54" s="8">
        <f>'Cash Dividend'!E54/'Price Data'!E54</f>
        <v>0</v>
      </c>
      <c r="F54" s="8">
        <f>'Cash Dividend'!F54/'Price Data'!F54</f>
        <v>0</v>
      </c>
      <c r="G54" s="8">
        <f>'Cash Dividend'!G54/'Price Data'!G54</f>
        <v>0</v>
      </c>
      <c r="H54" s="8">
        <f>'Cash Dividend'!H54/'Price Data'!H54</f>
        <v>0</v>
      </c>
      <c r="I54" s="8">
        <f>'Cash Dividend'!I54/'Price Data'!I54</f>
        <v>1.547116736990155E-2</v>
      </c>
      <c r="J54" s="8">
        <f>'Cash Dividend'!J54/'Price Data'!J54</f>
        <v>4.4388078630310714E-3</v>
      </c>
      <c r="K54" s="8">
        <f>'Cash Dividend'!K54/'Price Data'!K54</f>
        <v>2.1291696238466998E-2</v>
      </c>
      <c r="L54" s="8">
        <f>'Cash Dividend'!L54/'Price Data'!L54</f>
        <v>1.8072289156626505E-2</v>
      </c>
      <c r="M54" s="8">
        <f>'Cash Dividend'!M54/'Price Data'!M54</f>
        <v>0</v>
      </c>
      <c r="N54" s="8">
        <f>'Cash Dividend'!N54/'Price Data'!N54</f>
        <v>1.926782273603083E-2</v>
      </c>
      <c r="O54" s="8">
        <f>'Cash Dividend'!O54/'Price Data'!O54</f>
        <v>0</v>
      </c>
      <c r="P54" s="8">
        <f>'Cash Dividend'!P54/'Price Data'!P54</f>
        <v>0</v>
      </c>
      <c r="Q54" s="8">
        <f>'Cash Dividend'!Q54/'Price Data'!Q54</f>
        <v>1.3540128015755786E-2</v>
      </c>
      <c r="R54" s="8">
        <f>'Cash Dividend'!R54/'Price Data'!R54</f>
        <v>0</v>
      </c>
      <c r="S54" s="8">
        <f>'Cash Dividend'!S54/'Price Data'!S54</f>
        <v>0</v>
      </c>
      <c r="T54" s="8">
        <f>'Cash Dividend'!T54/'Price Data'!T54</f>
        <v>2.4096385542168676E-2</v>
      </c>
      <c r="U54" s="8">
        <f>'Cash Dividend'!U54/'Price Data'!U54</f>
        <v>1.6474464579901153E-2</v>
      </c>
      <c r="V54" s="8">
        <f>'Cash Dividend'!V54/'Price Data'!V54</f>
        <v>0</v>
      </c>
    </row>
    <row r="55" spans="1:22">
      <c r="A55" s="167"/>
      <c r="B55" s="16" t="s">
        <v>17</v>
      </c>
      <c r="C55" s="8">
        <f>'Cash Dividend'!C55/'Price Data'!C55</f>
        <v>0</v>
      </c>
      <c r="D55" s="8">
        <f>'Cash Dividend'!D55/'Price Data'!D55</f>
        <v>0</v>
      </c>
      <c r="E55" s="8">
        <f>'Cash Dividend'!E55/'Price Data'!E55</f>
        <v>0</v>
      </c>
      <c r="F55" s="8">
        <f>'Cash Dividend'!F55/'Price Data'!F55</f>
        <v>0</v>
      </c>
      <c r="G55" s="8">
        <f>'Cash Dividend'!G55/'Price Data'!G55</f>
        <v>0</v>
      </c>
      <c r="H55" s="8">
        <f>'Cash Dividend'!H55/'Price Data'!H55</f>
        <v>0</v>
      </c>
      <c r="I55" s="8">
        <f>'Cash Dividend'!I55/'Price Data'!I55</f>
        <v>0</v>
      </c>
      <c r="J55" s="8">
        <f>'Cash Dividend'!J55/'Price Data'!J55</f>
        <v>0</v>
      </c>
      <c r="K55" s="8">
        <f>'Cash Dividend'!K55/'Price Data'!K55</f>
        <v>0</v>
      </c>
      <c r="L55" s="8">
        <f>'Cash Dividend'!L55/'Price Data'!L55</f>
        <v>0</v>
      </c>
      <c r="M55" s="8">
        <f>'Cash Dividend'!M55/'Price Data'!M55</f>
        <v>0</v>
      </c>
      <c r="N55" s="8">
        <f>'Cash Dividend'!N55/'Price Data'!N55</f>
        <v>0</v>
      </c>
      <c r="O55" s="8">
        <f>'Cash Dividend'!O55/'Price Data'!O55</f>
        <v>0</v>
      </c>
      <c r="P55" s="8">
        <f>'Cash Dividend'!P55/'Price Data'!P55</f>
        <v>0</v>
      </c>
      <c r="Q55" s="8">
        <f>'Cash Dividend'!Q55/'Price Data'!Q55</f>
        <v>0</v>
      </c>
      <c r="R55" s="8">
        <f>'Cash Dividend'!R55/'Price Data'!R55</f>
        <v>0</v>
      </c>
      <c r="S55" s="8">
        <f>'Cash Dividend'!S55/'Price Data'!S55</f>
        <v>0</v>
      </c>
      <c r="T55" s="8">
        <f>'Cash Dividend'!T55/'Price Data'!T55</f>
        <v>0</v>
      </c>
      <c r="U55" s="8">
        <f>'Cash Dividend'!U55/'Price Data'!U55</f>
        <v>0</v>
      </c>
      <c r="V55" s="8">
        <f>'Cash Dividend'!V55/'Price Data'!V55</f>
        <v>0.10720667063728409</v>
      </c>
    </row>
    <row r="56" spans="1:22">
      <c r="A56" s="166">
        <v>2026</v>
      </c>
      <c r="B56" s="15" t="s">
        <v>18</v>
      </c>
      <c r="C56" s="8">
        <f>'Cash Dividend'!C56/'Price Data'!C56</f>
        <v>0</v>
      </c>
      <c r="D56" s="8">
        <f>'Cash Dividend'!D56/'Price Data'!D56</f>
        <v>0</v>
      </c>
      <c r="E56" s="8">
        <f>'Cash Dividend'!E56/'Price Data'!E56</f>
        <v>0</v>
      </c>
      <c r="F56" s="8">
        <f>'Cash Dividend'!F56/'Price Data'!F56</f>
        <v>0</v>
      </c>
      <c r="G56" s="8">
        <f>'Cash Dividend'!G56/'Price Data'!G56</f>
        <v>0</v>
      </c>
      <c r="H56" s="8">
        <f>'Cash Dividend'!H56/'Price Data'!H56</f>
        <v>0</v>
      </c>
      <c r="I56" s="8">
        <f>'Cash Dividend'!I56/'Price Data'!I56</f>
        <v>0</v>
      </c>
      <c r="J56" s="8">
        <f>'Cash Dividend'!J56/'Price Data'!J56</f>
        <v>0</v>
      </c>
      <c r="K56" s="8">
        <f>'Cash Dividend'!K56/'Price Data'!K56</f>
        <v>0</v>
      </c>
      <c r="L56" s="8">
        <f>'Cash Dividend'!L56/'Price Data'!L56</f>
        <v>0</v>
      </c>
      <c r="M56" s="8">
        <f>'Cash Dividend'!M56/'Price Data'!M56</f>
        <v>0</v>
      </c>
      <c r="N56" s="8">
        <f>'Cash Dividend'!N56/'Price Data'!N56</f>
        <v>0</v>
      </c>
      <c r="O56" s="8">
        <f>'Cash Dividend'!O56/'Price Data'!O56</f>
        <v>0</v>
      </c>
      <c r="P56" s="8">
        <f>'Cash Dividend'!P56/'Price Data'!P56</f>
        <v>0</v>
      </c>
      <c r="Q56" s="8">
        <f>'Cash Dividend'!Q56/'Price Data'!Q56</f>
        <v>0</v>
      </c>
      <c r="R56" s="8">
        <f>'Cash Dividend'!R56/'Price Data'!R56</f>
        <v>0</v>
      </c>
      <c r="S56" s="8">
        <f>'Cash Dividend'!S56/'Price Data'!S56</f>
        <v>0</v>
      </c>
      <c r="T56" s="8">
        <f>'Cash Dividend'!T56/'Price Data'!T56</f>
        <v>0</v>
      </c>
      <c r="U56" s="8">
        <f>'Cash Dividend'!U56/'Price Data'!U56</f>
        <v>0</v>
      </c>
      <c r="V56" s="8">
        <f>'Cash Dividend'!V56/'Price Data'!V56</f>
        <v>0</v>
      </c>
    </row>
    <row r="57" spans="1:22">
      <c r="A57" s="166"/>
      <c r="B57" s="15" t="s">
        <v>19</v>
      </c>
      <c r="C57" s="8">
        <f>'Cash Dividend'!C57/'Price Data'!C57</f>
        <v>0</v>
      </c>
      <c r="D57" s="8">
        <f>'Cash Dividend'!D57/'Price Data'!D57</f>
        <v>0</v>
      </c>
      <c r="E57" s="8">
        <f>'Cash Dividend'!E57/'Price Data'!E57</f>
        <v>0</v>
      </c>
      <c r="F57" s="8">
        <f>'Cash Dividend'!F57/'Price Data'!F57</f>
        <v>0</v>
      </c>
      <c r="G57" s="8">
        <f>'Cash Dividend'!G57/'Price Data'!G57</f>
        <v>0</v>
      </c>
      <c r="H57" s="8">
        <f>'Cash Dividend'!H57/'Price Data'!H57</f>
        <v>0</v>
      </c>
      <c r="I57" s="8">
        <f>'Cash Dividend'!I57/'Price Data'!I57</f>
        <v>0</v>
      </c>
      <c r="J57" s="8">
        <f>'Cash Dividend'!J57/'Price Data'!J57</f>
        <v>0</v>
      </c>
      <c r="K57" s="8">
        <f>'Cash Dividend'!K57/'Price Data'!K57</f>
        <v>0</v>
      </c>
      <c r="L57" s="8">
        <f>'Cash Dividend'!L57/'Price Data'!L57</f>
        <v>0</v>
      </c>
      <c r="M57" s="8">
        <f>'Cash Dividend'!M57/'Price Data'!M57</f>
        <v>0</v>
      </c>
      <c r="N57" s="8">
        <f>'Cash Dividend'!N57/'Price Data'!N57</f>
        <v>0</v>
      </c>
      <c r="O57" s="8">
        <f>'Cash Dividend'!O57/'Price Data'!O57</f>
        <v>0</v>
      </c>
      <c r="P57" s="8">
        <f>'Cash Dividend'!P57/'Price Data'!P57</f>
        <v>0</v>
      </c>
      <c r="Q57" s="8">
        <f>'Cash Dividend'!Q57/'Price Data'!Q57</f>
        <v>0</v>
      </c>
      <c r="R57" s="8">
        <f>'Cash Dividend'!R57/'Price Data'!R57</f>
        <v>0</v>
      </c>
      <c r="S57" s="8">
        <f>'Cash Dividend'!S57/'Price Data'!S57</f>
        <v>0</v>
      </c>
      <c r="T57" s="8">
        <f>'Cash Dividend'!T57/'Price Data'!T57</f>
        <v>0</v>
      </c>
      <c r="U57" s="8">
        <f>'Cash Dividend'!U57/'Price Data'!U57</f>
        <v>0</v>
      </c>
      <c r="V57" s="8">
        <f>'Cash Dividend'!V57/'Price Data'!V57</f>
        <v>0</v>
      </c>
    </row>
    <row r="58" spans="1:22">
      <c r="A58" s="166"/>
      <c r="B58" s="15" t="s">
        <v>20</v>
      </c>
      <c r="C58" s="8">
        <f>'Cash Dividend'!C58/'Price Data'!C58</f>
        <v>0</v>
      </c>
      <c r="D58" s="8">
        <f>'Cash Dividend'!D58/'Price Data'!D58</f>
        <v>0</v>
      </c>
      <c r="E58" s="8">
        <f>'Cash Dividend'!E58/'Price Data'!E58</f>
        <v>0</v>
      </c>
      <c r="F58" s="8">
        <f>'Cash Dividend'!F58/'Price Data'!F58</f>
        <v>0</v>
      </c>
      <c r="G58" s="8">
        <f>'Cash Dividend'!G58/'Price Data'!G58</f>
        <v>0</v>
      </c>
      <c r="H58" s="8">
        <f>'Cash Dividend'!H58/'Price Data'!H58</f>
        <v>0</v>
      </c>
      <c r="I58" s="8">
        <f>'Cash Dividend'!I58/'Price Data'!I58</f>
        <v>0</v>
      </c>
      <c r="J58" s="8">
        <f>'Cash Dividend'!J58/'Price Data'!J58</f>
        <v>0</v>
      </c>
      <c r="K58" s="8">
        <f>'Cash Dividend'!K58/'Price Data'!K58</f>
        <v>0</v>
      </c>
      <c r="L58" s="8">
        <f>'Cash Dividend'!L58/'Price Data'!L58</f>
        <v>0</v>
      </c>
      <c r="M58" s="8">
        <f>'Cash Dividend'!M58/'Price Data'!M58</f>
        <v>0</v>
      </c>
      <c r="N58" s="8">
        <f>'Cash Dividend'!N58/'Price Data'!N58</f>
        <v>0</v>
      </c>
      <c r="O58" s="8">
        <f>'Cash Dividend'!O58/'Price Data'!O58</f>
        <v>8.8114754098360656E-2</v>
      </c>
      <c r="P58" s="8">
        <f>'Cash Dividend'!P58/'Price Data'!P58</f>
        <v>0</v>
      </c>
      <c r="Q58" s="8">
        <f>'Cash Dividend'!Q58/'Price Data'!Q58</f>
        <v>0</v>
      </c>
      <c r="R58" s="8">
        <f>'Cash Dividend'!R58/'Price Data'!R58</f>
        <v>0</v>
      </c>
      <c r="S58" s="8">
        <f>'Cash Dividend'!S58/'Price Data'!S58</f>
        <v>0</v>
      </c>
      <c r="T58" s="8">
        <f>'Cash Dividend'!T58/'Price Data'!T58</f>
        <v>0</v>
      </c>
      <c r="U58" s="8">
        <f>'Cash Dividend'!U58/'Price Data'!U58</f>
        <v>0</v>
      </c>
      <c r="V58" s="8">
        <f>'Cash Dividend'!V58/'Price Data'!V58</f>
        <v>0</v>
      </c>
    </row>
    <row r="59" spans="1:22">
      <c r="A59" s="166"/>
      <c r="B59" s="15" t="s">
        <v>21</v>
      </c>
      <c r="C59" s="8">
        <f>'Cash Dividend'!C59/'Price Data'!C59</f>
        <v>0</v>
      </c>
      <c r="D59" s="8">
        <f>'Cash Dividend'!D59/'Price Data'!D59</f>
        <v>0</v>
      </c>
      <c r="E59" s="8">
        <f>'Cash Dividend'!E59/'Price Data'!E59</f>
        <v>0</v>
      </c>
      <c r="F59" s="8">
        <f>'Cash Dividend'!F59/'Price Data'!F59</f>
        <v>0</v>
      </c>
      <c r="G59" s="8">
        <f>'Cash Dividend'!G59/'Price Data'!G59</f>
        <v>1.8832391713747645E-2</v>
      </c>
      <c r="H59" s="8">
        <f>'Cash Dividend'!H59/'Price Data'!H59</f>
        <v>0</v>
      </c>
      <c r="I59" s="8">
        <f>'Cash Dividend'!I59/'Price Data'!I59</f>
        <v>0</v>
      </c>
      <c r="J59" s="8">
        <f>'Cash Dividend'!J59/'Price Data'!J59</f>
        <v>0</v>
      </c>
      <c r="K59" s="8">
        <f>'Cash Dividend'!K59/'Price Data'!K59</f>
        <v>0</v>
      </c>
      <c r="L59" s="8">
        <f>'Cash Dividend'!L59/'Price Data'!L59</f>
        <v>0</v>
      </c>
      <c r="M59" s="8">
        <f>'Cash Dividend'!M59/'Price Data'!M59</f>
        <v>0</v>
      </c>
      <c r="N59" s="8">
        <f>'Cash Dividend'!N59/'Price Data'!N59</f>
        <v>0</v>
      </c>
      <c r="O59" s="8">
        <f>'Cash Dividend'!O59/'Price Data'!O59</f>
        <v>0</v>
      </c>
      <c r="P59" s="8">
        <f>'Cash Dividend'!P59/'Price Data'!P59</f>
        <v>0</v>
      </c>
      <c r="Q59" s="8">
        <f>'Cash Dividend'!Q59/'Price Data'!Q59</f>
        <v>0</v>
      </c>
      <c r="R59" s="8">
        <f>'Cash Dividend'!R59/'Price Data'!R59</f>
        <v>0</v>
      </c>
      <c r="S59" s="8">
        <f>'Cash Dividend'!S59/'Price Data'!S59</f>
        <v>0</v>
      </c>
      <c r="T59" s="8">
        <f>'Cash Dividend'!T59/'Price Data'!T59</f>
        <v>0</v>
      </c>
      <c r="U59" s="8">
        <f>'Cash Dividend'!U59/'Price Data'!U59</f>
        <v>0</v>
      </c>
      <c r="V59" s="8">
        <f>'Cash Dividend'!V59/'Price Data'!V59</f>
        <v>0</v>
      </c>
    </row>
    <row r="60" spans="1:22">
      <c r="A60" s="166"/>
      <c r="B60" s="15" t="s">
        <v>22</v>
      </c>
      <c r="C60" s="8">
        <f>'Cash Dividend'!C60/'Price Data'!C60</f>
        <v>2.2288261515601784E-2</v>
      </c>
      <c r="D60" s="8">
        <f>'Cash Dividend'!D60/'Price Data'!D60</f>
        <v>0.11643835616438358</v>
      </c>
      <c r="E60" s="8">
        <f>'Cash Dividend'!E60/'Price Data'!E60</f>
        <v>0</v>
      </c>
      <c r="F60" s="8">
        <f>'Cash Dividend'!F60/'Price Data'!F60</f>
        <v>0</v>
      </c>
      <c r="G60" s="8">
        <f>'Cash Dividend'!G60/'Price Data'!G60</f>
        <v>0</v>
      </c>
      <c r="H60" s="8">
        <f>'Cash Dividend'!H60/'Price Data'!H60</f>
        <v>3.333333333333334E-2</v>
      </c>
      <c r="I60" s="8">
        <f>'Cash Dividend'!I60/'Price Data'!I60</f>
        <v>0</v>
      </c>
      <c r="J60" s="8">
        <f>'Cash Dividend'!J60/'Price Data'!J60</f>
        <v>0</v>
      </c>
      <c r="K60" s="8">
        <f>'Cash Dividend'!K60/'Price Data'!K60</f>
        <v>0</v>
      </c>
      <c r="L60" s="8">
        <f>'Cash Dividend'!L60/'Price Data'!L60</f>
        <v>0</v>
      </c>
      <c r="M60" s="8">
        <f>'Cash Dividend'!M60/'Price Data'!M60</f>
        <v>0</v>
      </c>
      <c r="N60" s="8">
        <f>'Cash Dividend'!N60/'Price Data'!N60</f>
        <v>0</v>
      </c>
      <c r="O60" s="8">
        <f>'Cash Dividend'!O60/'Price Data'!O60</f>
        <v>0</v>
      </c>
      <c r="P60" s="8">
        <f>'Cash Dividend'!P60/'Price Data'!P60</f>
        <v>0</v>
      </c>
      <c r="Q60" s="8">
        <f>'Cash Dividend'!Q60/'Price Data'!Q60</f>
        <v>0</v>
      </c>
      <c r="R60" s="8">
        <f>'Cash Dividend'!R60/'Price Data'!R60</f>
        <v>0</v>
      </c>
      <c r="S60" s="8">
        <f>'Cash Dividend'!S60/'Price Data'!S60</f>
        <v>0</v>
      </c>
      <c r="T60" s="8">
        <f>'Cash Dividend'!T60/'Price Data'!T60</f>
        <v>0</v>
      </c>
      <c r="U60" s="8">
        <f>'Cash Dividend'!U60/'Price Data'!U60</f>
        <v>0</v>
      </c>
      <c r="V60" s="8">
        <f>'Cash Dividend'!V60/'Price Data'!V60</f>
        <v>0</v>
      </c>
    </row>
    <row r="61" spans="1:22">
      <c r="A61" s="166"/>
      <c r="B61" s="15" t="s">
        <v>23</v>
      </c>
      <c r="C61" s="8">
        <f>'Cash Dividend'!C61/'Price Data'!C61</f>
        <v>0</v>
      </c>
      <c r="D61" s="8">
        <f>'Cash Dividend'!D61/'Price Data'!D61</f>
        <v>0</v>
      </c>
      <c r="E61" s="8">
        <f>'Cash Dividend'!E61/'Price Data'!E61</f>
        <v>1.5197568389057751E-2</v>
      </c>
      <c r="F61" s="8">
        <f>'Cash Dividend'!F61/'Price Data'!F61</f>
        <v>3.6585365853658534E-2</v>
      </c>
      <c r="G61" s="8">
        <f>'Cash Dividend'!G61/'Price Data'!G61</f>
        <v>0</v>
      </c>
      <c r="H61" s="8">
        <f>'Cash Dividend'!H61/'Price Data'!H61</f>
        <v>0</v>
      </c>
      <c r="I61" s="8">
        <f>'Cash Dividend'!I61/'Price Data'!I61</f>
        <v>0</v>
      </c>
      <c r="J61" s="8">
        <f>'Cash Dividend'!J61/'Price Data'!J61</f>
        <v>0</v>
      </c>
      <c r="K61" s="8">
        <f>'Cash Dividend'!K61/'Price Data'!K61</f>
        <v>0</v>
      </c>
      <c r="L61" s="8">
        <f>'Cash Dividend'!L61/'Price Data'!L61</f>
        <v>0</v>
      </c>
      <c r="M61" s="8">
        <f>'Cash Dividend'!M61/'Price Data'!M61</f>
        <v>0</v>
      </c>
      <c r="N61" s="8">
        <f>'Cash Dividend'!N61/'Price Data'!N61</f>
        <v>0</v>
      </c>
      <c r="O61" s="8">
        <f>'Cash Dividend'!O61/'Price Data'!O61</f>
        <v>0</v>
      </c>
      <c r="P61" s="8">
        <f>'Cash Dividend'!P61/'Price Data'!P61</f>
        <v>0</v>
      </c>
      <c r="Q61" s="8">
        <f>'Cash Dividend'!Q61/'Price Data'!Q61</f>
        <v>0</v>
      </c>
      <c r="R61" s="8">
        <f>'Cash Dividend'!R61/'Price Data'!R61</f>
        <v>7.4877309468822179E-2</v>
      </c>
      <c r="S61" s="8">
        <f>'Cash Dividend'!S61/'Price Data'!S61</f>
        <v>5.134750089041909E-2</v>
      </c>
      <c r="T61" s="8">
        <f>'Cash Dividend'!T61/'Price Data'!T61</f>
        <v>0</v>
      </c>
      <c r="U61" s="8">
        <f>'Cash Dividend'!U61/'Price Data'!U61</f>
        <v>0</v>
      </c>
      <c r="V61" s="8">
        <f>'Cash Dividend'!V61/'Price Data'!V61</f>
        <v>0</v>
      </c>
    </row>
    <row r="62" spans="1:22">
      <c r="A62" s="166"/>
      <c r="B62" s="15" t="s">
        <v>24</v>
      </c>
      <c r="C62" s="8">
        <f>'Cash Dividend'!C62/'Price Data'!C62</f>
        <v>0</v>
      </c>
      <c r="D62" s="8">
        <f>'Cash Dividend'!D62/'Price Data'!D62</f>
        <v>0</v>
      </c>
      <c r="E62" s="8">
        <f>'Cash Dividend'!E62/'Price Data'!E62</f>
        <v>0</v>
      </c>
      <c r="F62" s="8">
        <f>'Cash Dividend'!F62/'Price Data'!F62</f>
        <v>0</v>
      </c>
      <c r="G62" s="8">
        <f>'Cash Dividend'!G62/'Price Data'!G62</f>
        <v>0</v>
      </c>
      <c r="H62" s="8">
        <f>'Cash Dividend'!H62/'Price Data'!H62</f>
        <v>0</v>
      </c>
      <c r="I62" s="8">
        <f>'Cash Dividend'!I62/'Price Data'!I62</f>
        <v>0</v>
      </c>
      <c r="J62" s="8">
        <f>'Cash Dividend'!J62/'Price Data'!J62</f>
        <v>0</v>
      </c>
      <c r="K62" s="8">
        <f>'Cash Dividend'!K62/'Price Data'!K62</f>
        <v>0</v>
      </c>
      <c r="L62" s="8">
        <f>'Cash Dividend'!L62/'Price Data'!L62</f>
        <v>0</v>
      </c>
      <c r="M62" s="8">
        <f>'Cash Dividend'!M62/'Price Data'!M62</f>
        <v>0</v>
      </c>
      <c r="N62" s="8">
        <f>'Cash Dividend'!N62/'Price Data'!N62</f>
        <v>0</v>
      </c>
      <c r="O62" s="8">
        <f>'Cash Dividend'!O62/'Price Data'!O62</f>
        <v>0</v>
      </c>
      <c r="P62" s="8">
        <f>'Cash Dividend'!P62/'Price Data'!P62</f>
        <v>0</v>
      </c>
      <c r="Q62" s="8">
        <f>'Cash Dividend'!Q62/'Price Data'!Q62</f>
        <v>0</v>
      </c>
      <c r="R62" s="8">
        <f>'Cash Dividend'!R62/'Price Data'!R62</f>
        <v>0</v>
      </c>
      <c r="S62" s="8">
        <f>'Cash Dividend'!S62/'Price Data'!S62</f>
        <v>0</v>
      </c>
      <c r="T62" s="8">
        <f>'Cash Dividend'!T62/'Price Data'!T62</f>
        <v>0</v>
      </c>
      <c r="U62" s="8">
        <f>'Cash Dividend'!U62/'Price Data'!U62</f>
        <v>0</v>
      </c>
      <c r="V62" s="8">
        <f>'Cash Dividend'!V62/'Price Data'!V62</f>
        <v>0</v>
      </c>
    </row>
    <row r="63" spans="1:22">
      <c r="A63" s="166"/>
      <c r="B63" s="15" t="s">
        <v>25</v>
      </c>
      <c r="C63" s="8">
        <f>'Cash Dividend'!C63/'Price Data'!C63</f>
        <v>0</v>
      </c>
      <c r="D63" s="8">
        <f>'Cash Dividend'!D63/'Price Data'!D63</f>
        <v>0</v>
      </c>
      <c r="E63" s="8">
        <f>'Cash Dividend'!E63/'Price Data'!E63</f>
        <v>0</v>
      </c>
      <c r="F63" s="8">
        <f>'Cash Dividend'!F63/'Price Data'!F63</f>
        <v>0</v>
      </c>
      <c r="G63" s="8">
        <f>'Cash Dividend'!G63/'Price Data'!G63</f>
        <v>0</v>
      </c>
      <c r="H63" s="8">
        <f>'Cash Dividend'!H63/'Price Data'!H63</f>
        <v>0</v>
      </c>
      <c r="I63" s="8">
        <f>'Cash Dividend'!I63/'Price Data'!I63</f>
        <v>0</v>
      </c>
      <c r="J63" s="8">
        <f>'Cash Dividend'!J63/'Price Data'!J63</f>
        <v>0</v>
      </c>
      <c r="K63" s="8">
        <f>'Cash Dividend'!K63/'Price Data'!K63</f>
        <v>0</v>
      </c>
      <c r="L63" s="8">
        <f>'Cash Dividend'!L63/'Price Data'!L63</f>
        <v>0</v>
      </c>
      <c r="M63" s="8">
        <f>'Cash Dividend'!M63/'Price Data'!M63</f>
        <v>0</v>
      </c>
      <c r="N63" s="8">
        <f>'Cash Dividend'!N63/'Price Data'!N63</f>
        <v>0</v>
      </c>
      <c r="O63" s="8">
        <f>'Cash Dividend'!O63/'Price Data'!O63</f>
        <v>0</v>
      </c>
      <c r="P63" s="8">
        <f>'Cash Dividend'!P63/'Price Data'!P63</f>
        <v>0</v>
      </c>
      <c r="Q63" s="8">
        <f>'Cash Dividend'!Q63/'Price Data'!Q63</f>
        <v>0</v>
      </c>
      <c r="R63" s="8">
        <f>'Cash Dividend'!R63/'Price Data'!R63</f>
        <v>0</v>
      </c>
      <c r="S63" s="8">
        <f>'Cash Dividend'!S63/'Price Data'!S63</f>
        <v>0</v>
      </c>
      <c r="T63" s="8">
        <f>'Cash Dividend'!T63/'Price Data'!T63</f>
        <v>0</v>
      </c>
      <c r="U63" s="8">
        <f>'Cash Dividend'!U63/'Price Data'!U63</f>
        <v>0</v>
      </c>
      <c r="V63" s="8">
        <f>'Cash Dividend'!V63/'Price Data'!V63</f>
        <v>0</v>
      </c>
    </row>
  </sheetData>
  <mergeCells count="11">
    <mergeCell ref="A56:A63"/>
    <mergeCell ref="A3:A7"/>
    <mergeCell ref="A8:A19"/>
    <mergeCell ref="A20:A31"/>
    <mergeCell ref="A32:A43"/>
    <mergeCell ref="A44:A55"/>
    <mergeCell ref="C1:D1"/>
    <mergeCell ref="G1:H1"/>
    <mergeCell ref="E1:F1"/>
    <mergeCell ref="I1:K1"/>
    <mergeCell ref="P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EF1F-3429-48E4-BE1D-A4AB1A0FFB0F}">
  <dimension ref="A1:V63"/>
  <sheetViews>
    <sheetView zoomScaleNormal="10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2" sqref="A2:B2"/>
    </sheetView>
  </sheetViews>
  <sheetFormatPr defaultColWidth="8.81640625" defaultRowHeight="14.5"/>
  <cols>
    <col min="2" max="2" width="10.81640625" bestFit="1" customWidth="1"/>
    <col min="3" max="3" width="9.453125" bestFit="1" customWidth="1"/>
    <col min="5" max="5" width="13.6328125" bestFit="1" customWidth="1"/>
    <col min="6" max="6" width="13.1796875" bestFit="1" customWidth="1"/>
    <col min="7" max="7" width="12" bestFit="1" customWidth="1"/>
    <col min="8" max="8" width="9.453125" bestFit="1" customWidth="1"/>
    <col min="9" max="9" width="9.81640625" bestFit="1" customWidth="1"/>
    <col min="11" max="11" width="17.81640625" bestFit="1" customWidth="1"/>
    <col min="12" max="12" width="13.1796875" bestFit="1" customWidth="1"/>
    <col min="13" max="13" width="11.6328125" bestFit="1" customWidth="1"/>
    <col min="14" max="14" width="13.453125" bestFit="1" customWidth="1"/>
    <col min="15" max="16" width="15" bestFit="1" customWidth="1"/>
    <col min="17" max="17" width="10" bestFit="1" customWidth="1"/>
    <col min="18" max="18" width="19.1796875" bestFit="1" customWidth="1"/>
    <col min="19" max="19" width="18.81640625" bestFit="1" customWidth="1"/>
    <col min="20" max="20" width="9.6328125" bestFit="1" customWidth="1"/>
    <col min="22" max="22" width="12.453125" bestFit="1" customWidth="1"/>
  </cols>
  <sheetData>
    <row r="1" spans="1:22" s="152" customFormat="1">
      <c r="A1" s="151" t="s">
        <v>37</v>
      </c>
      <c r="B1" s="151"/>
      <c r="C1" s="165" t="s">
        <v>12</v>
      </c>
      <c r="D1" s="165"/>
      <c r="E1" s="165" t="s">
        <v>108</v>
      </c>
      <c r="F1" s="165"/>
      <c r="G1" s="165" t="s">
        <v>32</v>
      </c>
      <c r="H1" s="165"/>
      <c r="I1" s="165" t="s">
        <v>30</v>
      </c>
      <c r="J1" s="165"/>
      <c r="K1" s="165"/>
      <c r="L1" s="151" t="s">
        <v>115</v>
      </c>
      <c r="M1" s="151" t="s">
        <v>35</v>
      </c>
      <c r="N1" s="151" t="s">
        <v>27</v>
      </c>
      <c r="O1" s="151" t="s">
        <v>34</v>
      </c>
      <c r="P1" s="165" t="s">
        <v>33</v>
      </c>
      <c r="Q1" s="165"/>
      <c r="R1" s="165"/>
      <c r="S1" s="165"/>
      <c r="T1" s="151" t="s">
        <v>29</v>
      </c>
      <c r="U1" s="151" t="s">
        <v>123</v>
      </c>
      <c r="V1" s="151" t="s">
        <v>125</v>
      </c>
    </row>
    <row r="2" spans="1:22">
      <c r="A2" s="151" t="s">
        <v>14</v>
      </c>
      <c r="B2" s="151" t="s">
        <v>13</v>
      </c>
      <c r="C2" s="6" t="s">
        <v>127</v>
      </c>
      <c r="D2" s="6" t="s">
        <v>105</v>
      </c>
      <c r="E2" s="6" t="s">
        <v>106</v>
      </c>
      <c r="F2" s="6" t="s">
        <v>107</v>
      </c>
      <c r="G2" s="6" t="s">
        <v>109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116</v>
      </c>
      <c r="N2" s="6" t="s">
        <v>117</v>
      </c>
      <c r="O2" s="6" t="s">
        <v>36</v>
      </c>
      <c r="P2" s="6" t="s">
        <v>118</v>
      </c>
      <c r="Q2" s="6" t="s">
        <v>119</v>
      </c>
      <c r="R2" s="6" t="s">
        <v>120</v>
      </c>
      <c r="S2" s="6" t="s">
        <v>121</v>
      </c>
      <c r="T2" s="6" t="s">
        <v>122</v>
      </c>
      <c r="U2" s="6" t="s">
        <v>124</v>
      </c>
      <c r="V2" s="6" t="s">
        <v>126</v>
      </c>
    </row>
    <row r="3" spans="1:22">
      <c r="A3" s="167">
        <v>2021</v>
      </c>
      <c r="B3" s="16" t="s">
        <v>25</v>
      </c>
    </row>
    <row r="4" spans="1:22">
      <c r="A4" s="167"/>
      <c r="B4" s="16" t="s">
        <v>26</v>
      </c>
      <c r="C4" s="7">
        <f>('Price Data'!C4*(1+'Stock Dividend'!C4+'Right Share Ratio'!C4)*Split!C4-'Price Data'!C3-'Right Share Ratio'!C4*'Right Share Offer Price'!C4*Split!C4)/'Price Data'!C3</f>
        <v>1.039298473530368E-2</v>
      </c>
      <c r="D4" s="7">
        <f>('Price Data'!D4*(1+'Stock Dividend'!D4+'Right Share Ratio'!D4)*Split!D4-'Price Data'!D3-'Right Share Ratio'!D4*'Right Share Offer Price'!D4*Split!D4)/'Price Data'!D3</f>
        <v>6.4102564102563875E-3</v>
      </c>
      <c r="E4" s="7">
        <f>('Price Data'!E4*(1+'Stock Dividend'!E4+'Right Share Ratio'!E4)*Split!E4-'Price Data'!E3-'Right Share Ratio'!E4*'Right Share Offer Price'!E4*Split!E4)/'Price Data'!E3</f>
        <v>0.25583288117200215</v>
      </c>
      <c r="F4" s="7">
        <f>('Price Data'!F4*(1+'Stock Dividend'!F4+'Right Share Ratio'!F4)*Split!F4-'Price Data'!F3-'Right Share Ratio'!F4*'Right Share Offer Price'!F4*Split!F4)/'Price Data'!F3</f>
        <v>4.9779205138498574E-2</v>
      </c>
      <c r="G4" s="7">
        <f>('Price Data'!G4*(1+'Stock Dividend'!G4+'Right Share Ratio'!G4)*Split!G4-'Price Data'!G3-'Right Share Ratio'!G4*'Right Share Offer Price'!G4*Split!G4)/'Price Data'!G3</f>
        <v>-6.3901345291479852E-2</v>
      </c>
      <c r="H4" s="7">
        <f>('Price Data'!H4*(1+'Stock Dividend'!H4+'Right Share Ratio'!H4)*Split!H4-'Price Data'!H3-'Right Share Ratio'!H4*'Right Share Offer Price'!H4*Split!H4)/'Price Data'!H3</f>
        <v>-3.2394366197183055E-2</v>
      </c>
      <c r="I4" s="7">
        <f>('Price Data'!I4*(1+'Stock Dividend'!I4+'Right Share Ratio'!I4)*Split!I4-'Price Data'!I3-'Right Share Ratio'!I4*'Right Share Offer Price'!I4*Split!I4)/'Price Data'!I3</f>
        <v>5.8202750239846619E-2</v>
      </c>
      <c r="J4" s="7">
        <f>('Price Data'!J4*(1+'Stock Dividend'!J4+'Right Share Ratio'!J4)*Split!J4-'Price Data'!J3-'Right Share Ratio'!J4*'Right Share Offer Price'!J4*Split!J4)/'Price Data'!J3</f>
        <v>-4.9557522123893756E-2</v>
      </c>
      <c r="K4" s="7">
        <f>('Price Data'!K4*(1+'Stock Dividend'!K4+'Right Share Ratio'!K4)*Split!K4-'Price Data'!K3-'Right Share Ratio'!K4*'Right Share Offer Price'!K4*Split!K4)/'Price Data'!K3</f>
        <v>0.1297359357060851</v>
      </c>
      <c r="L4" s="7">
        <f>('Price Data'!L4*(1+'Stock Dividend'!L4+'Right Share Ratio'!L4)*Split!L4-'Price Data'!L3-'Right Share Ratio'!L4*'Right Share Offer Price'!L4*Split!L4)/'Price Data'!L3</f>
        <v>-8.7124132613723856E-2</v>
      </c>
      <c r="M4" s="7">
        <f>('Price Data'!M4*(1+'Stock Dividend'!M4+'Right Share Ratio'!M4)*Split!M4-'Price Data'!M3-'Right Share Ratio'!M4*'Right Share Offer Price'!M4*Split!M4)/'Price Data'!M3</f>
        <v>0.31230688069937446</v>
      </c>
      <c r="N4" s="7">
        <f>('Price Data'!N4*(1+'Stock Dividend'!N4+'Right Share Ratio'!N4)*Split!N4-'Price Data'!N3-'Right Share Ratio'!N4*'Right Share Offer Price'!N4*Split!N4)/'Price Data'!N3</f>
        <v>8.0983420717018625E-2</v>
      </c>
      <c r="O4" s="7">
        <f>('Price Data'!O4*(1+'Stock Dividend'!O4+'Right Share Ratio'!O4)*Split!O4-'Price Data'!O3-'Right Share Ratio'!O4*'Right Share Offer Price'!O4*Split!O4)/'Price Data'!O3</f>
        <v>4.8538334252619872E-2</v>
      </c>
      <c r="P4" s="7">
        <f>('Price Data'!P4*(1+'Stock Dividend'!P4+'Right Share Ratio'!P4)*Split!P4-'Price Data'!P3-'Right Share Ratio'!P4*'Right Share Offer Price'!P4*Split!P4)/'Price Data'!P3</f>
        <v>6.4717348927875326E-2</v>
      </c>
      <c r="Q4" s="7">
        <f>('Price Data'!Q4*(1+'Stock Dividend'!Q4+'Right Share Ratio'!Q4)*Split!Q4-'Price Data'!Q3-'Right Share Ratio'!Q4*'Right Share Offer Price'!Q4*Split!Q4)/'Price Data'!Q3</f>
        <v>1.2158408595712033E-2</v>
      </c>
      <c r="R4" s="7">
        <f>('Price Data'!R4*(1+'Stock Dividend'!R4+'Right Share Ratio'!R4)*Split!R4-'Price Data'!R3-'Right Share Ratio'!R4*'Right Share Offer Price'!R4*Split!R4)/'Price Data'!R3</f>
        <v>4.6926123643876508E-3</v>
      </c>
      <c r="S4" s="7">
        <f>('Price Data'!S4*(1+'Stock Dividend'!S4+'Right Share Ratio'!S4)*Split!S4-'Price Data'!S3-'Right Share Ratio'!S4*'Right Share Offer Price'!S4*Split!S4)/'Price Data'!S3</f>
        <v>8.0914392974458543E-2</v>
      </c>
      <c r="T4" s="7">
        <f>('Price Data'!T4*(1+'Stock Dividend'!T4+'Right Share Ratio'!T4)*Split!T4-'Price Data'!T3-'Right Share Ratio'!T4*'Right Share Offer Price'!T4*Split!T4)/'Price Data'!T3</f>
        <v>0.31034482758620691</v>
      </c>
      <c r="U4" s="7">
        <f>('Price Data'!U4*(1+'Stock Dividend'!U4+'Right Share Ratio'!U4)*Split!U4-'Price Data'!U3-'Right Share Ratio'!U4*'Right Share Offer Price'!U4*Split!U4)/'Price Data'!U3</f>
        <v>0.20880913539967369</v>
      </c>
      <c r="V4" s="7">
        <f>('Price Data'!V4*(1+'Stock Dividend'!V4+'Right Share Ratio'!V4)*Split!V4-'Price Data'!V3-'Right Share Ratio'!V4*'Right Share Offer Price'!V4*Split!V4)/'Price Data'!V3</f>
        <v>5.4674685620557679E-3</v>
      </c>
    </row>
    <row r="5" spans="1:22">
      <c r="A5" s="167"/>
      <c r="B5" s="16" t="s">
        <v>15</v>
      </c>
      <c r="C5" s="7">
        <f>('Price Data'!C5*(1+'Stock Dividend'!C5+'Right Share Ratio'!C5)*Split!C5-'Price Data'!C4-'Right Share Ratio'!C5*'Right Share Offer Price'!C5*Split!C5)/'Price Data'!C4</f>
        <v>-3.7608486017357702E-2</v>
      </c>
      <c r="D5" s="7">
        <f>('Price Data'!D5*(1+'Stock Dividend'!D5+'Right Share Ratio'!D5)*Split!D5-'Price Data'!D4-'Right Share Ratio'!D5*'Right Share Offer Price'!D5*Split!D5)/'Price Data'!D4</f>
        <v>-1.2738853503184669E-2</v>
      </c>
      <c r="E5" s="7">
        <f>('Price Data'!E5*(1+'Stock Dividend'!E5+'Right Share Ratio'!E5)*Split!E5-'Price Data'!E4-'Right Share Ratio'!E5*'Right Share Offer Price'!E5*Split!E5)/'Price Data'!E4</f>
        <v>-0.14625189025707488</v>
      </c>
      <c r="F5" s="7">
        <f>('Price Data'!F5*(1+'Stock Dividend'!F5+'Right Share Ratio'!F5)*Split!F5-'Price Data'!F4-'Right Share Ratio'!F5*'Right Share Offer Price'!F5*Split!F5)/'Price Data'!F4</f>
        <v>-7.0618228170809511E-2</v>
      </c>
      <c r="G5" s="7">
        <f>('Price Data'!G5*(1+'Stock Dividend'!G5+'Right Share Ratio'!G5)*Split!G5-'Price Data'!G4-'Right Share Ratio'!G5*'Right Share Offer Price'!G5*Split!G5)/'Price Data'!G4</f>
        <v>-5.9880239520958084E-2</v>
      </c>
      <c r="H5" s="7">
        <f>('Price Data'!H5*(1+'Stock Dividend'!H5+'Right Share Ratio'!H5)*Split!H5-'Price Data'!H4-'Right Share Ratio'!H5*'Right Share Offer Price'!H5*Split!H5)/'Price Data'!H4</f>
        <v>-1.310043668122279E-2</v>
      </c>
      <c r="I5" s="7">
        <f>('Price Data'!I5*(1+'Stock Dividend'!I5+'Right Share Ratio'!I5)*Split!I5-'Price Data'!I4-'Right Share Ratio'!I5*'Right Share Offer Price'!I5*Split!I5)/'Price Data'!I4</f>
        <v>-2.2061045633121907E-2</v>
      </c>
      <c r="J5" s="7">
        <f>('Price Data'!J5*(1+'Stock Dividend'!J5+'Right Share Ratio'!J5)*Split!J5-'Price Data'!J4-'Right Share Ratio'!J5*'Right Share Offer Price'!J5*Split!J5)/'Price Data'!J4</f>
        <v>-0.23091247672253268</v>
      </c>
      <c r="K5" s="7">
        <f>('Price Data'!K5*(1+'Stock Dividend'!K5+'Right Share Ratio'!K5)*Split!K5-'Price Data'!K4-'Right Share Ratio'!K5*'Right Share Offer Price'!K5*Split!K5)/'Price Data'!K4</f>
        <v>-0.11178861788617886</v>
      </c>
      <c r="L5" s="7">
        <f>('Price Data'!L5*(1+'Stock Dividend'!L5+'Right Share Ratio'!L5)*Split!L5-'Price Data'!L4-'Right Share Ratio'!L5*'Right Share Offer Price'!L5*Split!L5)/'Price Data'!L4</f>
        <v>-0.11064189189189196</v>
      </c>
      <c r="M5" s="7">
        <f>('Price Data'!M5*(1+'Stock Dividend'!M5+'Right Share Ratio'!M5)*Split!M5-'Price Data'!M4-'Right Share Ratio'!M5*'Right Share Offer Price'!M5*Split!M5)/'Price Data'!M4</f>
        <v>-5.9142594613219954E-2</v>
      </c>
      <c r="N5" s="7">
        <f>('Price Data'!N5*(1+'Stock Dividend'!N5+'Right Share Ratio'!N5)*Split!N5-'Price Data'!N4-'Right Share Ratio'!N5*'Right Share Offer Price'!N5*Split!N5)/'Price Data'!N4</f>
        <v>-0.18850363767451001</v>
      </c>
      <c r="O5" s="7">
        <f>('Price Data'!O5*(1+'Stock Dividend'!O5+'Right Share Ratio'!O5)*Split!O5-'Price Data'!O4-'Right Share Ratio'!O5*'Right Share Offer Price'!O5*Split!O5)/'Price Data'!O4</f>
        <v>-5.7075223566543896E-2</v>
      </c>
      <c r="P5" s="7">
        <f>('Price Data'!P5*(1+'Stock Dividend'!P5+'Right Share Ratio'!P5)*Split!P5-'Price Data'!P4-'Right Share Ratio'!P5*'Right Share Offer Price'!P5*Split!P5)/'Price Data'!P4</f>
        <v>-1.4646649578908823E-2</v>
      </c>
      <c r="Q5" s="7">
        <f>('Price Data'!Q5*(1+'Stock Dividend'!Q5+'Right Share Ratio'!Q5)*Split!Q5-'Price Data'!Q4-'Right Share Ratio'!Q5*'Right Share Offer Price'!Q5*Split!Q5)/'Price Data'!Q4</f>
        <v>1.1240017090084518E-2</v>
      </c>
      <c r="R5" s="7">
        <f>('Price Data'!R5*(1+'Stock Dividend'!R5+'Right Share Ratio'!R5)*Split!R5-'Price Data'!R4-'Right Share Ratio'!R5*'Right Share Offer Price'!R5*Split!R5)/'Price Data'!R4</f>
        <v>-1.6540257959463477E-2</v>
      </c>
      <c r="S5" s="7">
        <f>('Price Data'!S5*(1+'Stock Dividend'!S5+'Right Share Ratio'!S5)*Split!S5-'Price Data'!S4-'Right Share Ratio'!S5*'Right Share Offer Price'!S5*Split!S5)/'Price Data'!S4</f>
        <v>4.165633010832713E-2</v>
      </c>
      <c r="T5" s="7">
        <f>('Price Data'!T5*(1+'Stock Dividend'!T5+'Right Share Ratio'!T5)*Split!T5-'Price Data'!T4-'Right Share Ratio'!T5*'Right Share Offer Price'!T5*Split!T5)/'Price Data'!T4</f>
        <v>-3.8157894736842182E-2</v>
      </c>
      <c r="U5" s="7">
        <f>('Price Data'!U5*(1+'Stock Dividend'!U5+'Right Share Ratio'!U5)*Split!U5-'Price Data'!U4-'Right Share Ratio'!U5*'Right Share Offer Price'!U5*Split!U5)/'Price Data'!U4</f>
        <v>-0.20917678812415647</v>
      </c>
      <c r="V5" s="7">
        <f>('Price Data'!V5*(1+'Stock Dividend'!V5+'Right Share Ratio'!V5)*Split!V5-'Price Data'!V4-'Right Share Ratio'!V5*'Right Share Offer Price'!V5*Split!V5)/'Price Data'!V4</f>
        <v>-5.7096247960848286E-2</v>
      </c>
    </row>
    <row r="6" spans="1:22">
      <c r="A6" s="167"/>
      <c r="B6" s="16" t="s">
        <v>16</v>
      </c>
      <c r="C6" s="7">
        <f>('Price Data'!C6*(1+'Stock Dividend'!C6+'Right Share Ratio'!C6)*Split!C6-'Price Data'!C5-'Right Share Ratio'!C6*'Right Share Offer Price'!C6*Split!C6)/'Price Data'!C5</f>
        <v>0.1833667334669338</v>
      </c>
      <c r="D6" s="7">
        <f>('Price Data'!D6*(1+'Stock Dividend'!D6+'Right Share Ratio'!D6)*Split!D6-'Price Data'!D5-'Right Share Ratio'!D6*'Right Share Offer Price'!D6*Split!D6)/'Price Data'!D5</f>
        <v>-6.4516129032257839E-3</v>
      </c>
      <c r="E6" s="7">
        <f>('Price Data'!E6*(1+'Stock Dividend'!E6+'Right Share Ratio'!E6)*Split!E6-'Price Data'!E5-'Right Share Ratio'!E6*'Right Share Offer Price'!E6*Split!E6)/'Price Data'!E5</f>
        <v>-5.7692307692307716E-2</v>
      </c>
      <c r="F6" s="7">
        <f>('Price Data'!F6*(1+'Stock Dividend'!F6+'Right Share Ratio'!F6)*Split!F6-'Price Data'!F5-'Right Share Ratio'!F6*'Right Share Offer Price'!F6*Split!F6)/'Price Data'!F5</f>
        <v>-3.7443423398710603E-2</v>
      </c>
      <c r="G6" s="7">
        <f>('Price Data'!G6*(1+'Stock Dividend'!G6+'Right Share Ratio'!G6)*Split!G6-'Price Data'!G5-'Right Share Ratio'!G6*'Right Share Offer Price'!G6*Split!G6)/'Price Data'!G5</f>
        <v>-9.5541401273885357E-2</v>
      </c>
      <c r="H6" s="7">
        <f>('Price Data'!H6*(1+'Stock Dividend'!H6+'Right Share Ratio'!H6)*Split!H6-'Price Data'!H5-'Right Share Ratio'!H6*'Right Share Offer Price'!H6*Split!H6)/'Price Data'!H5</f>
        <v>-9.5870206489675522E-2</v>
      </c>
      <c r="I6" s="7">
        <f>('Price Data'!I6*(1+'Stock Dividend'!I6+'Right Share Ratio'!I6)*Split!I6-'Price Data'!I5-'Right Share Ratio'!I6*'Right Share Offer Price'!I6*Split!I6)/'Price Data'!I5</f>
        <v>3.3683559950556351E-2</v>
      </c>
      <c r="J6" s="7">
        <f>('Price Data'!J6*(1+'Stock Dividend'!J6+'Right Share Ratio'!J6)*Split!J6-'Price Data'!J5-'Right Share Ratio'!J6*'Right Share Offer Price'!J6*Split!J6)/'Price Data'!J5</f>
        <v>-7.9903147699757801E-2</v>
      </c>
      <c r="K6" s="7">
        <f>('Price Data'!K6*(1+'Stock Dividend'!K6+'Right Share Ratio'!K6)*Split!K6-'Price Data'!K5-'Right Share Ratio'!K6*'Right Share Offer Price'!K6*Split!K6)/'Price Data'!K5</f>
        <v>-9.0389016018306692E-2</v>
      </c>
      <c r="L6" s="7">
        <f>('Price Data'!L6*(1+'Stock Dividend'!L6+'Right Share Ratio'!L6)*Split!L6-'Price Data'!L5-'Right Share Ratio'!L6*'Right Share Offer Price'!L6*Split!L6)/'Price Data'!L5</f>
        <v>5.5080721747388386E-2</v>
      </c>
      <c r="M6" s="7">
        <f>('Price Data'!M6*(1+'Stock Dividend'!M6+'Right Share Ratio'!M6)*Split!M6-'Price Data'!M5-'Right Share Ratio'!M6*'Right Share Offer Price'!M6*Split!M6)/'Price Data'!M5</f>
        <v>-0.10324937512016928</v>
      </c>
      <c r="N6" s="7">
        <f>('Price Data'!N6*(1+'Stock Dividend'!N6+'Right Share Ratio'!N6)*Split!N6-'Price Data'!N5-'Right Share Ratio'!N6*'Right Share Offer Price'!N6*Split!N6)/'Price Data'!N5</f>
        <v>-0.12535336402552294</v>
      </c>
      <c r="O6" s="7">
        <f>('Price Data'!O6*(1+'Stock Dividend'!O6+'Right Share Ratio'!O6)*Split!O6-'Price Data'!O5-'Right Share Ratio'!O6*'Right Share Offer Price'!O6*Split!O6)/'Price Data'!O5</f>
        <v>-2.8451882845188254E-2</v>
      </c>
      <c r="P6" s="7">
        <f>('Price Data'!P6*(1+'Stock Dividend'!P6+'Right Share Ratio'!P6)*Split!P6-'Price Data'!P5-'Right Share Ratio'!P6*'Right Share Offer Price'!P6*Split!P6)/'Price Data'!P5</f>
        <v>-2.2296544035675311E-3</v>
      </c>
      <c r="Q6" s="7">
        <f>('Price Data'!Q6*(1+'Stock Dividend'!Q6+'Right Share Ratio'!Q6)*Split!Q6-'Price Data'!Q5-'Right Share Ratio'!Q6*'Right Share Offer Price'!Q6*Split!Q6)/'Price Data'!Q5</f>
        <v>7.7933146998602612E-2</v>
      </c>
      <c r="R6" s="7">
        <f>('Price Data'!R6*(1+'Stock Dividend'!R6+'Right Share Ratio'!R6)*Split!R6-'Price Data'!R5-'Right Share Ratio'!R6*'Right Share Offer Price'!R6*Split!R6)/'Price Data'!R5</f>
        <v>-6.3613785891681882E-3</v>
      </c>
      <c r="S6" s="7">
        <f>('Price Data'!S6*(1+'Stock Dividend'!S6+'Right Share Ratio'!S6)*Split!S6-'Price Data'!S5-'Right Share Ratio'!S6*'Right Share Offer Price'!S6*Split!S6)/'Price Data'!S5</f>
        <v>-2.9035267033163354E-2</v>
      </c>
      <c r="T6" s="7">
        <f>('Price Data'!T6*(1+'Stock Dividend'!T6+'Right Share Ratio'!T6)*Split!T6-'Price Data'!T5-'Right Share Ratio'!T6*'Right Share Offer Price'!T6*Split!T6)/'Price Data'!T5</f>
        <v>-0.13269493844049243</v>
      </c>
      <c r="U6" s="7">
        <f>('Price Data'!U6*(1+'Stock Dividend'!U6+'Right Share Ratio'!U6)*Split!U6-'Price Data'!U5-'Right Share Ratio'!U6*'Right Share Offer Price'!U6*Split!U6)/'Price Data'!U5</f>
        <v>-4.6075085324232129E-2</v>
      </c>
      <c r="V6" s="7">
        <f>('Price Data'!V6*(1+'Stock Dividend'!V6+'Right Share Ratio'!V6)*Split!V6-'Price Data'!V5-'Right Share Ratio'!V6*'Right Share Offer Price'!V6*Split!V6)/'Price Data'!V5</f>
        <v>-1.3840830449827021E-2</v>
      </c>
    </row>
    <row r="7" spans="1:22">
      <c r="A7" s="167"/>
      <c r="B7" s="16" t="s">
        <v>17</v>
      </c>
      <c r="C7" s="7">
        <f>('Price Data'!C7*(1+'Stock Dividend'!C7+'Right Share Ratio'!C7)*Split!C7-'Price Data'!C6-'Right Share Ratio'!C7*'Right Share Offer Price'!C7*Split!C7)/'Price Data'!C6</f>
        <v>2.032176121930564E-2</v>
      </c>
      <c r="D7" s="7">
        <f>('Price Data'!D7*(1+'Stock Dividend'!D7+'Right Share Ratio'!D7)*Split!D7-'Price Data'!D6-'Right Share Ratio'!D7*'Right Share Offer Price'!D7*Split!D7)/'Price Data'!D6</f>
        <v>-6.4935064935064705E-3</v>
      </c>
      <c r="E7" s="7">
        <f>('Price Data'!E7*(1+'Stock Dividend'!E7+'Right Share Ratio'!E7)*Split!E7-'Price Data'!E6-'Right Share Ratio'!E7*'Right Share Offer Price'!E7*Split!E7)/'Price Data'!E6</f>
        <v>-1.2889366272825026E-2</v>
      </c>
      <c r="F7" s="7">
        <f>('Price Data'!F7*(1+'Stock Dividend'!F7+'Right Share Ratio'!F7)*Split!F7-'Price Data'!F6-'Right Share Ratio'!F7*'Right Share Offer Price'!F7*Split!F7)/'Price Data'!F6</f>
        <v>-1.2824166429182588E-3</v>
      </c>
      <c r="G7" s="7">
        <f>('Price Data'!G7*(1+'Stock Dividend'!G7+'Right Share Ratio'!G7)*Split!G7-'Price Data'!G6-'Right Share Ratio'!G7*'Right Share Offer Price'!G7*Split!G7)/'Price Data'!G6</f>
        <v>3.2394366197183055E-2</v>
      </c>
      <c r="H7" s="7">
        <f>('Price Data'!H7*(1+'Stock Dividend'!H7+'Right Share Ratio'!H7)*Split!H7-'Price Data'!H6-'Right Share Ratio'!H7*'Right Share Offer Price'!H7*Split!H7)/'Price Data'!H6</f>
        <v>0.11745513866231652</v>
      </c>
      <c r="I7" s="7">
        <f>('Price Data'!I7*(1+'Stock Dividend'!I7+'Right Share Ratio'!I7)*Split!I7-'Price Data'!I6-'Right Share Ratio'!I7*'Right Share Offer Price'!I7*Split!I7)/'Price Data'!I6</f>
        <v>-8.6696562032884963E-2</v>
      </c>
      <c r="J7" s="7">
        <f>('Price Data'!J7*(1+'Stock Dividend'!J7+'Right Share Ratio'!J7)*Split!J7-'Price Data'!J6-'Right Share Ratio'!J7*'Right Share Offer Price'!J7*Split!J7)/'Price Data'!J6</f>
        <v>0.32631578947368417</v>
      </c>
      <c r="K7" s="7">
        <f>('Price Data'!K7*(1+'Stock Dividend'!K7+'Right Share Ratio'!K7)*Split!K7-'Price Data'!K6-'Right Share Ratio'!K7*'Right Share Offer Price'!K7*Split!K7)/'Price Data'!K6</f>
        <v>1.0062893081760971E-2</v>
      </c>
      <c r="L7" s="7">
        <f>('Price Data'!L7*(1+'Stock Dividend'!L7+'Right Share Ratio'!L7)*Split!L7-'Price Data'!L6-'Right Share Ratio'!L7*'Right Share Offer Price'!L7*Split!L7)/'Price Data'!L6</f>
        <v>9.9909990999099987E-2</v>
      </c>
      <c r="M7" s="7">
        <f>('Price Data'!M7*(1+'Stock Dividend'!M7+'Right Share Ratio'!M7)*Split!M7-'Price Data'!M6-'Right Share Ratio'!M7*'Right Share Offer Price'!M7*Split!M7)/'Price Data'!M6</f>
        <v>0.15165809033733563</v>
      </c>
      <c r="N7" s="7">
        <f>('Price Data'!N7*(1+'Stock Dividend'!N7+'Right Share Ratio'!N7)*Split!N7-'Price Data'!N6-'Right Share Ratio'!N7*'Right Share Offer Price'!N7*Split!N7)/'Price Data'!N6</f>
        <v>7.2121156154769481E-2</v>
      </c>
      <c r="O7" s="7">
        <f>('Price Data'!O7*(1+'Stock Dividend'!O7+'Right Share Ratio'!O7)*Split!O7-'Price Data'!O6-'Right Share Ratio'!O7*'Right Share Offer Price'!O7*Split!O7)/'Price Data'!O6</f>
        <v>3.4453057708871333E-3</v>
      </c>
      <c r="P7" s="7">
        <f>('Price Data'!P7*(1+'Stock Dividend'!P7+'Right Share Ratio'!P7)*Split!P7-'Price Data'!P6-'Right Share Ratio'!P7*'Right Share Offer Price'!P7*Split!P7)/'Price Data'!P6</f>
        <v>1.0428305400372482E-2</v>
      </c>
      <c r="Q7" s="7">
        <f>('Price Data'!Q7*(1+'Stock Dividend'!Q7+'Right Share Ratio'!Q7)*Split!Q7-'Price Data'!Q6-'Right Share Ratio'!Q7*'Right Share Offer Price'!Q7*Split!Q7)/'Price Data'!Q6</f>
        <v>1.6665699337517836E-2</v>
      </c>
      <c r="R7" s="7">
        <f>('Price Data'!R7*(1+'Stock Dividend'!R7+'Right Share Ratio'!R7)*Split!R7-'Price Data'!R6-'Right Share Ratio'!R7*'Right Share Offer Price'!R7*Split!R7)/'Price Data'!R6</f>
        <v>8.989256741942557E-3</v>
      </c>
      <c r="S7" s="7">
        <f>('Price Data'!S7*(1+'Stock Dividend'!S7+'Right Share Ratio'!S7)*Split!S7-'Price Data'!S6-'Right Share Ratio'!S7*'Right Share Offer Price'!S7*Split!S7)/'Price Data'!S6</f>
        <v>0.17118387703376667</v>
      </c>
      <c r="T7" s="7">
        <f>('Price Data'!T7*(1+'Stock Dividend'!T7+'Right Share Ratio'!T7)*Split!T7-'Price Data'!T6-'Right Share Ratio'!T7*'Right Share Offer Price'!T7*Split!T7)/'Price Data'!T6</f>
        <v>0.10410094637223977</v>
      </c>
      <c r="U7" s="7">
        <f>('Price Data'!U7*(1+'Stock Dividend'!U7+'Right Share Ratio'!U7)*Split!U7-'Price Data'!U6-'Right Share Ratio'!U7*'Right Share Offer Price'!U7*Split!U7)/'Price Data'!U6</f>
        <v>-6.2611806797853317E-2</v>
      </c>
      <c r="V7" s="7">
        <f>('Price Data'!V7*(1+'Stock Dividend'!V7+'Right Share Ratio'!V7)*Split!V7-'Price Data'!V6-'Right Share Ratio'!V7*'Right Share Offer Price'!V7*Split!V7)/'Price Data'!V6</f>
        <v>5.8479532163739363E-4</v>
      </c>
    </row>
    <row r="8" spans="1:22">
      <c r="A8" s="166">
        <v>2022</v>
      </c>
      <c r="B8" s="15" t="s">
        <v>18</v>
      </c>
      <c r="C8" s="7">
        <f>('Price Data'!C8*(1+'Stock Dividend'!C8+'Right Share Ratio'!C8)*Split!C8-'Price Data'!C7-'Right Share Ratio'!C8*'Right Share Offer Price'!C8*Split!C8)/'Price Data'!C7</f>
        <v>-1.9363762102351393E-3</v>
      </c>
      <c r="D8" s="7">
        <f>('Price Data'!D8*(1+'Stock Dividend'!D8+'Right Share Ratio'!D8)*Split!D8-'Price Data'!D7-'Right Share Ratio'!D8*'Right Share Offer Price'!D8*Split!D8)/'Price Data'!D7</f>
        <v>-6.5359477124183937E-3</v>
      </c>
      <c r="E8" s="7">
        <f>('Price Data'!E8*(1+'Stock Dividend'!E8+'Right Share Ratio'!E8)*Split!E8-'Price Data'!E7-'Right Share Ratio'!E8*'Right Share Offer Price'!E8*Split!E8)/'Price Data'!E7</f>
        <v>1.5505984766050062E-2</v>
      </c>
      <c r="F8" s="7">
        <f>('Price Data'!F8*(1+'Stock Dividend'!F8+'Right Share Ratio'!F8)*Split!F8-'Price Data'!F7-'Right Share Ratio'!F8*'Right Share Offer Price'!F8*Split!F8)/'Price Data'!F7</f>
        <v>-3.8521900413755203E-3</v>
      </c>
      <c r="G8" s="7">
        <f>('Price Data'!G8*(1+'Stock Dividend'!G8+'Right Share Ratio'!G8)*Split!G8-'Price Data'!G7-'Right Share Ratio'!G8*'Right Share Offer Price'!G8*Split!G8)/'Price Data'!G7</f>
        <v>-2.8649386084583825E-2</v>
      </c>
      <c r="H8" s="7">
        <f>('Price Data'!H8*(1+'Stock Dividend'!H8+'Right Share Ratio'!H8)*Split!H8-'Price Data'!H7-'Right Share Ratio'!H8*'Right Share Offer Price'!H8*Split!H8)/'Price Data'!H7</f>
        <v>-5.4014598540146029E-2</v>
      </c>
      <c r="I8" s="7">
        <f>('Price Data'!I8*(1+'Stock Dividend'!I8+'Right Share Ratio'!I8)*Split!I8-'Price Data'!I7-'Right Share Ratio'!I8*'Right Share Offer Price'!I8*Split!I8)/'Price Data'!I7</f>
        <v>0.15155482815057281</v>
      </c>
      <c r="J8" s="7">
        <f>('Price Data'!J8*(1+'Stock Dividend'!J8+'Right Share Ratio'!J8)*Split!J8-'Price Data'!J7-'Right Share Ratio'!J8*'Right Share Offer Price'!J8*Split!J8)/'Price Data'!J7</f>
        <v>-7.1428571428571452E-2</v>
      </c>
      <c r="K8" s="7">
        <f>('Price Data'!K8*(1+'Stock Dividend'!K8+'Right Share Ratio'!K8)*Split!K8-'Price Data'!K7-'Right Share Ratio'!K8*'Right Share Offer Price'!K8*Split!K8)/'Price Data'!K7</f>
        <v>6.8493150684931156E-3</v>
      </c>
      <c r="L8" s="7">
        <f>('Price Data'!L8*(1+'Stock Dividend'!L8+'Right Share Ratio'!L8)*Split!L8-'Price Data'!L7-'Right Share Ratio'!L8*'Right Share Offer Price'!L8*Split!L8)/'Price Data'!L7</f>
        <v>-4.5008183306055646E-2</v>
      </c>
      <c r="M8" s="7">
        <f>('Price Data'!M8*(1+'Stock Dividend'!M8+'Right Share Ratio'!M8)*Split!M8-'Price Data'!M7-'Right Share Ratio'!M8*'Right Share Offer Price'!M8*Split!M8)/'Price Data'!M7</f>
        <v>0.21894005212858386</v>
      </c>
      <c r="N8" s="7">
        <f>('Price Data'!N8*(1+'Stock Dividend'!N8+'Right Share Ratio'!N8)*Split!N8-'Price Data'!N7-'Right Share Ratio'!N8*'Right Share Offer Price'!N8*Split!N8)/'Price Data'!N7</f>
        <v>-6.6322136089577615E-3</v>
      </c>
      <c r="O8" s="7">
        <f>('Price Data'!O8*(1+'Stock Dividend'!O8+'Right Share Ratio'!O8)*Split!O8-'Price Data'!O7-'Right Share Ratio'!O8*'Right Share Offer Price'!O8*Split!O8)/'Price Data'!O7</f>
        <v>1.8311874105865458E-2</v>
      </c>
      <c r="P8" s="7">
        <f>('Price Data'!P8*(1+'Stock Dividend'!P8+'Right Share Ratio'!P8)*Split!P8-'Price Data'!P7-'Right Share Ratio'!P8*'Right Share Offer Price'!P8*Split!P8)/'Price Data'!P7</f>
        <v>4.3125691116844778E-2</v>
      </c>
      <c r="Q8" s="7">
        <f>('Price Data'!Q8*(1+'Stock Dividend'!Q8+'Right Share Ratio'!Q8)*Split!Q8-'Price Data'!Q7-'Right Share Ratio'!Q8*'Right Share Offer Price'!Q8*Split!Q8)/'Price Data'!Q7</f>
        <v>1.5470937961294132E-2</v>
      </c>
      <c r="R8" s="7">
        <f>('Price Data'!R8*(1+'Stock Dividend'!R8+'Right Share Ratio'!R8)*Split!R8-'Price Data'!R7-'Right Share Ratio'!R8*'Right Share Offer Price'!R8*Split!R8)/'Price Data'!R7</f>
        <v>2.3946110386788313E-2</v>
      </c>
      <c r="S8" s="7">
        <f>('Price Data'!S8*(1+'Stock Dividend'!S8+'Right Share Ratio'!S8)*Split!S8-'Price Data'!S7-'Right Share Ratio'!S8*'Right Share Offer Price'!S8*Split!S8)/'Price Data'!S7</f>
        <v>1.9232447337650001E-2</v>
      </c>
      <c r="T8" s="7">
        <f>('Price Data'!T8*(1+'Stock Dividend'!T8+'Right Share Ratio'!T8)*Split!T8-'Price Data'!T7-'Right Share Ratio'!T8*'Right Share Offer Price'!T8*Split!T8)/'Price Data'!T7</f>
        <v>-0.18714285714285717</v>
      </c>
      <c r="U8" s="7">
        <f>('Price Data'!U8*(1+'Stock Dividend'!U8+'Right Share Ratio'!U8)*Split!U8-'Price Data'!U7-'Right Share Ratio'!U8*'Right Share Offer Price'!U8*Split!U8)/'Price Data'!U7</f>
        <v>-1.1450381679389341E-2</v>
      </c>
      <c r="V8" s="7">
        <f>('Price Data'!V8*(1+'Stock Dividend'!V8+'Right Share Ratio'!V8)*Split!V8-'Price Data'!V7-'Right Share Ratio'!V8*'Right Share Offer Price'!V8*Split!V8)/'Price Data'!V7</f>
        <v>-1.9286966686148353E-2</v>
      </c>
    </row>
    <row r="9" spans="1:22">
      <c r="A9" s="166"/>
      <c r="B9" s="15" t="s">
        <v>19</v>
      </c>
      <c r="C9" s="7">
        <f>('Price Data'!C9*(1+'Stock Dividend'!C9+'Right Share Ratio'!C9)*Split!C9-'Price Data'!C8-'Right Share Ratio'!C9*'Right Share Offer Price'!C9*Split!C9)/'Price Data'!C8</f>
        <v>-2.1618625277161897E-2</v>
      </c>
      <c r="D9" s="7">
        <f>('Price Data'!D9*(1+'Stock Dividend'!D9+'Right Share Ratio'!D9)*Split!D9-'Price Data'!D8-'Right Share Ratio'!D9*'Right Share Offer Price'!D9*Split!D9)/'Price Data'!D8</f>
        <v>-1.3157894736842059E-2</v>
      </c>
      <c r="E9" s="7">
        <f>('Price Data'!E9*(1+'Stock Dividend'!E9+'Right Share Ratio'!E9)*Split!E9-'Price Data'!E8-'Right Share Ratio'!E9*'Right Share Offer Price'!E9*Split!E9)/'Price Data'!E8</f>
        <v>-7.1256362175194127E-2</v>
      </c>
      <c r="F9" s="7">
        <f>('Price Data'!F9*(1+'Stock Dividend'!F9+'Right Share Ratio'!F9)*Split!F9-'Price Data'!F8-'Right Share Ratio'!F9*'Right Share Offer Price'!F9*Split!F9)/'Price Data'!F8</f>
        <v>-4.5545688914351089E-2</v>
      </c>
      <c r="G9" s="7">
        <f>('Price Data'!G9*(1+'Stock Dividend'!G9+'Right Share Ratio'!G9)*Split!G9-'Price Data'!G8-'Right Share Ratio'!G9*'Right Share Offer Price'!G9*Split!G9)/'Price Data'!G8</f>
        <v>-5.898876404494386E-2</v>
      </c>
      <c r="H9" s="7">
        <f>('Price Data'!H9*(1+'Stock Dividend'!H9+'Right Share Ratio'!H9)*Split!H9-'Price Data'!H8-'Right Share Ratio'!H9*'Right Share Offer Price'!H9*Split!H9)/'Price Data'!H8</f>
        <v>-0.12191358024691357</v>
      </c>
      <c r="I9" s="7">
        <f>('Price Data'!I9*(1+'Stock Dividend'!I9+'Right Share Ratio'!I9)*Split!I9-'Price Data'!I8-'Right Share Ratio'!I9*'Right Share Offer Price'!I9*Split!I9)/'Price Data'!I8</f>
        <v>-5.4292211483797516E-2</v>
      </c>
      <c r="J9" s="7">
        <f>('Price Data'!J9*(1+'Stock Dividend'!J9+'Right Share Ratio'!J9)*Split!J9-'Price Data'!J8-'Right Share Ratio'!J9*'Right Share Offer Price'!J9*Split!J9)/'Price Data'!J8</f>
        <v>2.3504273504273535E-2</v>
      </c>
      <c r="K9" s="7">
        <f>('Price Data'!K9*(1+'Stock Dividend'!K9+'Right Share Ratio'!K9)*Split!K9-'Price Data'!K8-'Right Share Ratio'!K9*'Right Share Offer Price'!K9*Split!K9)/'Price Data'!K8</f>
        <v>-8.9672232529375395E-2</v>
      </c>
      <c r="L9" s="7">
        <f>('Price Data'!L9*(1+'Stock Dividend'!L9+'Right Share Ratio'!L9)*Split!L9-'Price Data'!L8-'Right Share Ratio'!L9*'Right Share Offer Price'!L9*Split!L9)/'Price Data'!L8</f>
        <v>-8.6546700942587901E-2</v>
      </c>
      <c r="M9" s="7">
        <f>('Price Data'!M9*(1+'Stock Dividend'!M9+'Right Share Ratio'!M9)*Split!M9-'Price Data'!M8-'Right Share Ratio'!M9*'Right Share Offer Price'!M9*Split!M9)/'Price Data'!M8</f>
        <v>-5.4424193055696971E-2</v>
      </c>
      <c r="N9" s="7">
        <f>('Price Data'!N9*(1+'Stock Dividend'!N9+'Right Share Ratio'!N9)*Split!N9-'Price Data'!N8-'Right Share Ratio'!N9*'Right Share Offer Price'!N9*Split!N9)/'Price Data'!N8</f>
        <v>-3.4683083326107693E-2</v>
      </c>
      <c r="O9" s="7">
        <f>('Price Data'!O9*(1+'Stock Dividend'!O9+'Right Share Ratio'!O9)*Split!O9-'Price Data'!O8-'Right Share Ratio'!O9*'Right Share Offer Price'!O9*Split!O9)/'Price Data'!O8</f>
        <v>-4.4675470637819549E-2</v>
      </c>
      <c r="P9" s="7">
        <f>('Price Data'!P9*(1+'Stock Dividend'!P9+'Right Share Ratio'!P9)*Split!P9-'Price Data'!P8-'Right Share Ratio'!P9*'Right Share Offer Price'!P9*Split!P9)/'Price Data'!P8</f>
        <v>7.0671378091872791E-3</v>
      </c>
      <c r="Q9" s="7">
        <f>('Price Data'!Q9*(1+'Stock Dividend'!Q9+'Right Share Ratio'!Q9)*Split!Q9-'Price Data'!Q8-'Right Share Ratio'!Q9*'Right Share Offer Price'!Q9*Split!Q9)/'Price Data'!Q8</f>
        <v>2.1089997911881386E-2</v>
      </c>
      <c r="R9" s="7">
        <f>('Price Data'!R9*(1+'Stock Dividend'!R9+'Right Share Ratio'!R9)*Split!R9-'Price Data'!R8-'Right Share Ratio'!R9*'Right Share Offer Price'!R9*Split!R9)/'Price Data'!R8</f>
        <v>1.8377827766223924E-2</v>
      </c>
      <c r="S9" s="7">
        <f>('Price Data'!S9*(1+'Stock Dividend'!S9+'Right Share Ratio'!S9)*Split!S9-'Price Data'!S8-'Right Share Ratio'!S9*'Right Share Offer Price'!S9*Split!S9)/'Price Data'!S8</f>
        <v>2.2602352699439767E-3</v>
      </c>
      <c r="T9" s="7">
        <f>('Price Data'!T9*(1+'Stock Dividend'!T9+'Right Share Ratio'!T9)*Split!T9-'Price Data'!T8-'Right Share Ratio'!T9*'Right Share Offer Price'!T9*Split!T9)/'Price Data'!T8</f>
        <v>-3.3391915641476248E-2</v>
      </c>
      <c r="U9" s="7">
        <f>('Price Data'!U9*(1+'Stock Dividend'!U9+'Right Share Ratio'!U9)*Split!U9-'Price Data'!U8-'Right Share Ratio'!U9*'Right Share Offer Price'!U9*Split!U9)/'Price Data'!U8</f>
        <v>0.17374517374517376</v>
      </c>
      <c r="V9" s="7">
        <f>('Price Data'!V9*(1+'Stock Dividend'!V9+'Right Share Ratio'!V9)*Split!V9-'Price Data'!V8-'Right Share Ratio'!V9*'Right Share Offer Price'!V9*Split!V9)/'Price Data'!V8</f>
        <v>2.3837902264599357E-3</v>
      </c>
    </row>
    <row r="10" spans="1:22">
      <c r="A10" s="166"/>
      <c r="B10" s="15" t="s">
        <v>20</v>
      </c>
      <c r="C10" s="7">
        <f>('Price Data'!C10*(1+'Stock Dividend'!C10+'Right Share Ratio'!C10)*Split!C10-'Price Data'!C9-'Right Share Ratio'!C10*'Right Share Offer Price'!C10*Split!C10)/'Price Data'!C9</f>
        <v>-7.9603399433427632E-2</v>
      </c>
      <c r="D10" s="7">
        <f>('Price Data'!D10*(1+'Stock Dividend'!D10+'Right Share Ratio'!D10)*Split!D10-'Price Data'!D9-'Right Share Ratio'!D10*'Right Share Offer Price'!D10*Split!D10)/'Price Data'!D9</f>
        <v>2.6666666666666689E-2</v>
      </c>
      <c r="E10" s="7">
        <f>('Price Data'!E10*(1+'Stock Dividend'!E10+'Right Share Ratio'!E10)*Split!E10-'Price Data'!E9-'Right Share Ratio'!E10*'Right Share Offer Price'!E10*Split!E10)/'Price Data'!E9</f>
        <v>0.13441015286991626</v>
      </c>
      <c r="F10" s="7">
        <f>('Price Data'!F10*(1+'Stock Dividend'!F10+'Right Share Ratio'!F10)*Split!F10-'Price Data'!F9-'Right Share Ratio'!F10*'Right Share Offer Price'!F10*Split!F10)/'Price Data'!F9</f>
        <v>8.2833133253301258E-2</v>
      </c>
      <c r="G10" s="7">
        <f>('Price Data'!G10*(1+'Stock Dividend'!G10+'Right Share Ratio'!G10)*Split!G10-'Price Data'!G9-'Right Share Ratio'!G10*'Right Share Offer Price'!G10*Split!G10)/'Price Data'!G9</f>
        <v>-8.3582089552238822E-2</v>
      </c>
      <c r="H10" s="7">
        <f>('Price Data'!H10*(1+'Stock Dividend'!H10+'Right Share Ratio'!H10)*Split!H10-'Price Data'!H9-'Right Share Ratio'!H10*'Right Share Offer Price'!H10*Split!H10)/'Price Data'!H9</f>
        <v>-2.9876977152899751E-2</v>
      </c>
      <c r="I10" s="7">
        <f>('Price Data'!I10*(1+'Stock Dividend'!I10+'Right Share Ratio'!I10)*Split!I10-'Price Data'!I9-'Right Share Ratio'!I10*'Right Share Offer Price'!I10*Split!I10)/'Price Data'!I9</f>
        <v>0.13946498346859013</v>
      </c>
      <c r="J10" s="7">
        <f>('Price Data'!J10*(1+'Stock Dividend'!J10+'Right Share Ratio'!J10)*Split!J10-'Price Data'!J9-'Right Share Ratio'!J10*'Right Share Offer Price'!J10*Split!J10)/'Price Data'!J9</f>
        <v>-4.8016701461377813E-2</v>
      </c>
      <c r="K10" s="7">
        <f>('Price Data'!K10*(1+'Stock Dividend'!K10+'Right Share Ratio'!K10)*Split!K10-'Price Data'!K9-'Right Share Ratio'!K10*'Right Share Offer Price'!K10*Split!K10)/'Price Data'!K9</f>
        <v>-6.7934782608695662E-2</v>
      </c>
      <c r="L10" s="7">
        <f>('Price Data'!L10*(1+'Stock Dividend'!L10+'Right Share Ratio'!L10)*Split!L10-'Price Data'!L9-'Right Share Ratio'!L10*'Right Share Offer Price'!L10*Split!L10)/'Price Data'!L9</f>
        <v>-3.5647279549718552E-2</v>
      </c>
      <c r="M10" s="7">
        <f>('Price Data'!M10*(1+'Stock Dividend'!M10+'Right Share Ratio'!M10)*Split!M10-'Price Data'!M9-'Right Share Ratio'!M10*'Right Share Offer Price'!M10*Split!M10)/'Price Data'!M9</f>
        <v>-1.3298874710601405E-2</v>
      </c>
      <c r="N10" s="7">
        <f>('Price Data'!N10*(1+'Stock Dividend'!N10+'Right Share Ratio'!N10)*Split!N10-'Price Data'!N9-'Right Share Ratio'!N10*'Right Share Offer Price'!N10*Split!N10)/'Price Data'!N9</f>
        <v>-2.479116141201837E-2</v>
      </c>
      <c r="O10" s="7">
        <f>('Price Data'!O10*(1+'Stock Dividend'!O10+'Right Share Ratio'!O10)*Split!O10-'Price Data'!O9-'Right Share Ratio'!O10*'Right Share Offer Price'!O10*Split!O10)/'Price Data'!O9</f>
        <v>-3.264705882352948E-2</v>
      </c>
      <c r="P10" s="7">
        <f>('Price Data'!P10*(1+'Stock Dividend'!P10+'Right Share Ratio'!P10)*Split!P10-'Price Data'!P9-'Right Share Ratio'!P10*'Right Share Offer Price'!P10*Split!P10)/'Price Data'!P9</f>
        <v>4.5964912280701833E-2</v>
      </c>
      <c r="Q10" s="7">
        <f>('Price Data'!Q10*(1+'Stock Dividend'!Q10+'Right Share Ratio'!Q10)*Split!Q10-'Price Data'!Q9-'Right Share Ratio'!Q10*'Right Share Offer Price'!Q10*Split!Q10)/'Price Data'!Q9</f>
        <v>-5.2147239263804534E-3</v>
      </c>
      <c r="R10" s="7">
        <f>('Price Data'!R10*(1+'Stock Dividend'!R10+'Right Share Ratio'!R10)*Split!R10-'Price Data'!R9-'Right Share Ratio'!R10*'Right Share Offer Price'!R10*Split!R10)/'Price Data'!R9</f>
        <v>-1.8421271984662944E-2</v>
      </c>
      <c r="S10" s="7">
        <f>('Price Data'!S10*(1+'Stock Dividend'!S10+'Right Share Ratio'!S10)*Split!S10-'Price Data'!S9-'Right Share Ratio'!S10*'Right Share Offer Price'!S10*Split!S10)/'Price Data'!S9</f>
        <v>-7.9425281465156497E-2</v>
      </c>
      <c r="T10" s="7">
        <f>('Price Data'!T10*(1+'Stock Dividend'!T10+'Right Share Ratio'!T10)*Split!T10-'Price Data'!T9-'Right Share Ratio'!T10*'Right Share Offer Price'!T10*Split!T10)/'Price Data'!T9</f>
        <v>3.4545454545454518E-2</v>
      </c>
      <c r="U10" s="7">
        <f>('Price Data'!U10*(1+'Stock Dividend'!U10+'Right Share Ratio'!U10)*Split!U10-'Price Data'!U9-'Right Share Ratio'!U10*'Right Share Offer Price'!U10*Split!U10)/'Price Data'!U9</f>
        <v>7.0723684210526272E-2</v>
      </c>
      <c r="V10" s="7">
        <f>('Price Data'!V10*(1+'Stock Dividend'!V10+'Right Share Ratio'!V10)*Split!V10-'Price Data'!V9-'Right Share Ratio'!V10*'Right Share Offer Price'!V10*Split!V10)/'Price Data'!V9</f>
        <v>-2.9726516052318672E-2</v>
      </c>
    </row>
    <row r="11" spans="1:22">
      <c r="A11" s="166"/>
      <c r="B11" s="15" t="s">
        <v>21</v>
      </c>
      <c r="C11" s="7">
        <f>('Price Data'!C11*(1+'Stock Dividend'!C11+'Right Share Ratio'!C11)*Split!C11-'Price Data'!C10-'Right Share Ratio'!C11*'Right Share Offer Price'!C11*Split!C11)/'Price Data'!C10</f>
        <v>6.9375192366882041E-2</v>
      </c>
      <c r="D11" s="7">
        <f>('Price Data'!D11*(1+'Stock Dividend'!D11+'Right Share Ratio'!D11)*Split!D11-'Price Data'!D10-'Right Share Ratio'!D11*'Right Share Offer Price'!D11*Split!D11)/'Price Data'!D10</f>
        <v>1.2987012987012941E-2</v>
      </c>
      <c r="E11" s="7">
        <f>('Price Data'!E11*(1+'Stock Dividend'!E11+'Right Share Ratio'!E11)*Split!E11-'Price Data'!E10-'Right Share Ratio'!E11*'Right Share Offer Price'!E11*Split!E11)/'Price Data'!E10</f>
        <v>0.37782862954487667</v>
      </c>
      <c r="F11" s="7">
        <f>('Price Data'!F11*(1+'Stock Dividend'!F11+'Right Share Ratio'!F11)*Split!F11-'Price Data'!F10-'Right Share Ratio'!F11*'Right Share Offer Price'!F11*Split!F11)/'Price Data'!F10</f>
        <v>1.2195121951219686E-2</v>
      </c>
      <c r="G11" s="7">
        <f>('Price Data'!G11*(1+'Stock Dividend'!G11+'Right Share Ratio'!G11)*Split!G11-'Price Data'!G10-'Right Share Ratio'!G11*'Right Share Offer Price'!G11*Split!G11)/'Price Data'!G10</f>
        <v>-7.0032573289902242E-2</v>
      </c>
      <c r="H11" s="7">
        <f>('Price Data'!H11*(1+'Stock Dividend'!H11+'Right Share Ratio'!H11)*Split!H11-'Price Data'!H10-'Right Share Ratio'!H11*'Right Share Offer Price'!H11*Split!H11)/'Price Data'!H10</f>
        <v>4.1666666666666616E-2</v>
      </c>
      <c r="I11" s="7">
        <f>('Price Data'!I11*(1+'Stock Dividend'!I11+'Right Share Ratio'!I11)*Split!I11-'Price Data'!I10-'Right Share Ratio'!I11*'Right Share Offer Price'!I11*Split!I11)/'Price Data'!I10</f>
        <v>1.1870218939593851E-2</v>
      </c>
      <c r="J11" s="7">
        <f>('Price Data'!J11*(1+'Stock Dividend'!J11+'Right Share Ratio'!J11)*Split!J11-'Price Data'!J10-'Right Share Ratio'!J11*'Right Share Offer Price'!J11*Split!J11)/'Price Data'!J10</f>
        <v>-8.3333333333333426E-2</v>
      </c>
      <c r="K11" s="7">
        <f>('Price Data'!K11*(1+'Stock Dividend'!K11+'Right Share Ratio'!K11)*Split!K11-'Price Data'!K10-'Right Share Ratio'!K11*'Right Share Offer Price'!K11*Split!K11)/'Price Data'!K10</f>
        <v>-4.7376093294460644E-2</v>
      </c>
      <c r="L11" s="7">
        <f>('Price Data'!L11*(1+'Stock Dividend'!L11+'Right Share Ratio'!L11)*Split!L11-'Price Data'!L10-'Right Share Ratio'!L11*'Right Share Offer Price'!L11*Split!L11)/'Price Data'!L10</f>
        <v>2.2373540856031101E-2</v>
      </c>
      <c r="M11" s="7">
        <f>('Price Data'!M11*(1+'Stock Dividend'!M11+'Right Share Ratio'!M11)*Split!M11-'Price Data'!M10-'Right Share Ratio'!M11*'Right Share Offer Price'!M11*Split!M11)/'Price Data'!M10</f>
        <v>-3.5086761977518165E-2</v>
      </c>
      <c r="N11" s="7">
        <f>('Price Data'!N11*(1+'Stock Dividend'!N11+'Right Share Ratio'!N11)*Split!N11-'Price Data'!N10-'Right Share Ratio'!N11*'Right Share Offer Price'!N11*Split!N11)/'Price Data'!N10</f>
        <v>-2.5789813023854376E-3</v>
      </c>
      <c r="O11" s="7">
        <f>('Price Data'!O11*(1+'Stock Dividend'!O11+'Right Share Ratio'!O11)*Split!O11-'Price Data'!O10-'Right Share Ratio'!O11*'Right Share Offer Price'!O11*Split!O11)/'Price Data'!O10</f>
        <v>-2.7363940407418672E-2</v>
      </c>
      <c r="P11" s="7">
        <f>('Price Data'!P11*(1+'Stock Dividend'!P11+'Right Share Ratio'!P11)*Split!P11-'Price Data'!P10-'Right Share Ratio'!P11*'Right Share Offer Price'!P11*Split!P11)/'Price Data'!P10</f>
        <v>-8.0509896008052126E-3</v>
      </c>
      <c r="Q11" s="7">
        <f>('Price Data'!Q11*(1+'Stock Dividend'!Q11+'Right Share Ratio'!Q11)*Split!Q11-'Price Data'!Q10-'Right Share Ratio'!Q11*'Right Share Offer Price'!Q11*Split!Q11)/'Price Data'!Q10</f>
        <v>6.428046206029641E-3</v>
      </c>
      <c r="R11" s="7">
        <f>('Price Data'!R11*(1+'Stock Dividend'!R11+'Right Share Ratio'!R11)*Split!R11-'Price Data'!R10-'Right Share Ratio'!R11*'Right Share Offer Price'!R11*Split!R11)/'Price Data'!R10</f>
        <v>-8.9164402173909189E-4</v>
      </c>
      <c r="S11" s="7">
        <f>('Price Data'!S11*(1+'Stock Dividend'!S11+'Right Share Ratio'!S11)*Split!S11-'Price Data'!S10-'Right Share Ratio'!S11*'Right Share Offer Price'!S11*Split!S11)/'Price Data'!S10</f>
        <v>-9.5965407170959749E-2</v>
      </c>
      <c r="T11" s="7">
        <f>('Price Data'!T11*(1+'Stock Dividend'!T11+'Right Share Ratio'!T11)*Split!T11-'Price Data'!T10-'Right Share Ratio'!T11*'Right Share Offer Price'!T11*Split!T11)/'Price Data'!T10</f>
        <v>-4.0421792618629125E-2</v>
      </c>
      <c r="U11" s="7">
        <f>('Price Data'!U11*(1+'Stock Dividend'!U11+'Right Share Ratio'!U11)*Split!U11-'Price Data'!U10-'Right Share Ratio'!U11*'Right Share Offer Price'!U11*Split!U11)/'Price Data'!U10</f>
        <v>4.9155145929339526E-2</v>
      </c>
      <c r="V11" s="7">
        <f>('Price Data'!V11*(1+'Stock Dividend'!V11+'Right Share Ratio'!V11)*Split!V11-'Price Data'!V10-'Right Share Ratio'!V11*'Right Share Offer Price'!V11*Split!V11)/'Price Data'!V10</f>
        <v>2.6960784313725526E-2</v>
      </c>
    </row>
    <row r="12" spans="1:22">
      <c r="A12" s="166"/>
      <c r="B12" s="15" t="s">
        <v>22</v>
      </c>
      <c r="C12" s="7">
        <f>('Price Data'!C12*(1+'Stock Dividend'!C12+'Right Share Ratio'!C12)*Split!C12-'Price Data'!C11-'Right Share Ratio'!C12*'Right Share Offer Price'!C12*Split!C12)/'Price Data'!C11</f>
        <v>-0.10643564356435647</v>
      </c>
      <c r="D12" s="7">
        <f>('Price Data'!D12*(1+'Stock Dividend'!D12+'Right Share Ratio'!D12)*Split!D12-'Price Data'!D11-'Right Share Ratio'!D12*'Right Share Offer Price'!D12*Split!D12)/'Price Data'!D11</f>
        <v>0</v>
      </c>
      <c r="E12" s="7">
        <f>('Price Data'!E12*(1+'Stock Dividend'!E12+'Right Share Ratio'!E12)*Split!E12-'Price Data'!E11-'Right Share Ratio'!E12*'Right Share Offer Price'!E12*Split!E12)/'Price Data'!E11</f>
        <v>-7.5475179922494862E-2</v>
      </c>
      <c r="F12" s="7">
        <f>('Price Data'!F12*(1+'Stock Dividend'!F12+'Right Share Ratio'!F12)*Split!F12-'Price Data'!F11-'Right Share Ratio'!F12*'Right Share Offer Price'!F12*Split!F12)/'Price Data'!F11</f>
        <v>-6.3253012048192808E-2</v>
      </c>
      <c r="G12" s="7">
        <f>('Price Data'!G12*(1+'Stock Dividend'!G12+'Right Share Ratio'!G12)*Split!G12-'Price Data'!G11-'Right Share Ratio'!G12*'Right Share Offer Price'!G12*Split!G12)/'Price Data'!G11</f>
        <v>-0.1541155866900176</v>
      </c>
      <c r="H12" s="7">
        <f>('Price Data'!H12*(1+'Stock Dividend'!H12+'Right Share Ratio'!H12)*Split!H12-'Price Data'!H11-'Right Share Ratio'!H12*'Right Share Offer Price'!H12*Split!H12)/'Price Data'!H11</f>
        <v>-9.7391304347826113E-2</v>
      </c>
      <c r="I12" s="7">
        <f>('Price Data'!I12*(1+'Stock Dividend'!I12+'Right Share Ratio'!I12)*Split!I12-'Price Data'!I11-'Right Share Ratio'!I12*'Right Share Offer Price'!I12*Split!I12)/'Price Data'!I11</f>
        <v>0</v>
      </c>
      <c r="J12" s="7">
        <f>('Price Data'!J12*(1+'Stock Dividend'!J12+'Right Share Ratio'!J12)*Split!J12-'Price Data'!J11-'Right Share Ratio'!J12*'Right Share Offer Price'!J12*Split!J12)/'Price Data'!J11</f>
        <v>9.5693779904307587E-3</v>
      </c>
      <c r="K12" s="7">
        <f>('Price Data'!K12*(1+'Stock Dividend'!K12+'Right Share Ratio'!K12)*Split!K12-'Price Data'!K11-'Right Share Ratio'!K12*'Right Share Offer Price'!K12*Split!K12)/'Price Data'!K11</f>
        <v>-5.1262433052792572E-2</v>
      </c>
      <c r="L12" s="7">
        <f>('Price Data'!L12*(1+'Stock Dividend'!L12+'Right Share Ratio'!L12)*Split!L12-'Price Data'!L11-'Right Share Ratio'!L12*'Right Share Offer Price'!L12*Split!L12)/'Price Data'!L11</f>
        <v>-4.7573739295908662E-2</v>
      </c>
      <c r="M12" s="7">
        <f>('Price Data'!M12*(1+'Stock Dividend'!M12+'Right Share Ratio'!M12)*Split!M12-'Price Data'!M11-'Right Share Ratio'!M12*'Right Share Offer Price'!M12*Split!M12)/'Price Data'!M11</f>
        <v>-6.5599728552847486E-2</v>
      </c>
      <c r="N12" s="7">
        <f>('Price Data'!N12*(1+'Stock Dividend'!N12+'Right Share Ratio'!N12)*Split!N12-'Price Data'!N11-'Right Share Ratio'!N12*'Right Share Offer Price'!N12*Split!N12)/'Price Data'!N11</f>
        <v>-8.8004432542247671E-2</v>
      </c>
      <c r="O12" s="7">
        <f>('Price Data'!O12*(1+'Stock Dividend'!O12+'Right Share Ratio'!O12)*Split!O12-'Price Data'!O11-'Right Share Ratio'!O12*'Right Share Offer Price'!O12*Split!O12)/'Price Data'!O11</f>
        <v>-4.0012503907470943E-2</v>
      </c>
      <c r="P12" s="7">
        <f>('Price Data'!P12*(1+'Stock Dividend'!P12+'Right Share Ratio'!P12)*Split!P12-'Price Data'!P11-'Right Share Ratio'!P12*'Right Share Offer Price'!P12*Split!P12)/'Price Data'!P11</f>
        <v>-2.5025363544132491E-2</v>
      </c>
      <c r="Q12" s="7">
        <f>('Price Data'!Q12*(1+'Stock Dividend'!Q12+'Right Share Ratio'!Q12)*Split!Q12-'Price Data'!Q11-'Right Share Ratio'!Q12*'Right Share Offer Price'!Q12*Split!Q12)/'Price Data'!Q11</f>
        <v>-1.9750176761725271E-2</v>
      </c>
      <c r="R12" s="7">
        <f>('Price Data'!R12*(1+'Stock Dividend'!R12+'Right Share Ratio'!R12)*Split!R12-'Price Data'!R11-'Right Share Ratio'!R12*'Right Share Offer Price'!R12*Split!R12)/'Price Data'!R11</f>
        <v>-3.5272619098209715E-3</v>
      </c>
      <c r="S12" s="7">
        <f>('Price Data'!S12*(1+'Stock Dividend'!S12+'Right Share Ratio'!S12)*Split!S12-'Price Data'!S11-'Right Share Ratio'!S12*'Right Share Offer Price'!S12*Split!S12)/'Price Data'!S11</f>
        <v>-3.6006815429146334E-2</v>
      </c>
      <c r="T12" s="7">
        <f>('Price Data'!T12*(1+'Stock Dividend'!T12+'Right Share Ratio'!T12)*Split!T12-'Price Data'!T11-'Right Share Ratio'!T12*'Right Share Offer Price'!T12*Split!T12)/'Price Data'!T11</f>
        <v>9.1575091575091579E-3</v>
      </c>
      <c r="U12" s="7">
        <f>('Price Data'!U12*(1+'Stock Dividend'!U12+'Right Share Ratio'!U12)*Split!U12-'Price Data'!U11-'Right Share Ratio'!U12*'Right Share Offer Price'!U12*Split!U12)/'Price Data'!U11</f>
        <v>-3.8067349926793476E-2</v>
      </c>
      <c r="V12" s="7">
        <f>('Price Data'!V12*(1+'Stock Dividend'!V12+'Right Share Ratio'!V12)*Split!V12-'Price Data'!V11-'Right Share Ratio'!V12*'Right Share Offer Price'!V12*Split!V12)/'Price Data'!V11</f>
        <v>0</v>
      </c>
    </row>
    <row r="13" spans="1:22">
      <c r="A13" s="166"/>
      <c r="B13" s="15" t="s">
        <v>23</v>
      </c>
      <c r="C13" s="7">
        <f>('Price Data'!C13*(1+'Stock Dividend'!C13+'Right Share Ratio'!C13)*Split!C13-'Price Data'!C12-'Right Share Ratio'!C13*'Right Share Offer Price'!C13*Split!C13)/'Price Data'!C12</f>
        <v>9.695290858725801E-3</v>
      </c>
      <c r="D13" s="7">
        <f>('Price Data'!D13*(1+'Stock Dividend'!D13+'Right Share Ratio'!D13)*Split!D13-'Price Data'!D12-'Right Share Ratio'!D13*'Right Share Offer Price'!D13*Split!D13)/'Price Data'!D12</f>
        <v>-3.9999999999999925E-2</v>
      </c>
      <c r="E13" s="7">
        <f>('Price Data'!E13*(1+'Stock Dividend'!E13+'Right Share Ratio'!E13)*Split!E13-'Price Data'!E12-'Right Share Ratio'!E13*'Right Share Offer Price'!E13*Split!E13)/'Price Data'!E12</f>
        <v>1.7964071856286688E-3</v>
      </c>
      <c r="F13" s="7">
        <f>('Price Data'!F13*(1+'Stock Dividend'!F13+'Right Share Ratio'!F13)*Split!F13-'Price Data'!F12-'Right Share Ratio'!F13*'Right Share Offer Price'!F13*Split!F13)/'Price Data'!F12</f>
        <v>-1.6077170418006658E-3</v>
      </c>
      <c r="G13" s="7">
        <f>('Price Data'!G13*(1+'Stock Dividend'!G13+'Right Share Ratio'!G13)*Split!G13-'Price Data'!G12-'Right Share Ratio'!G13*'Right Share Offer Price'!G13*Split!G13)/'Price Data'!G12</f>
        <v>7.2463768115942032E-2</v>
      </c>
      <c r="H13" s="7">
        <f>('Price Data'!H13*(1+'Stock Dividend'!H13+'Right Share Ratio'!H13)*Split!H13-'Price Data'!H12-'Right Share Ratio'!H13*'Right Share Offer Price'!H13*Split!H13)/'Price Data'!H12</f>
        <v>-1.1560693641618524E-2</v>
      </c>
      <c r="I13" s="7">
        <f>('Price Data'!I13*(1+'Stock Dividend'!I13+'Right Share Ratio'!I13)*Split!I13-'Price Data'!I12-'Right Share Ratio'!I13*'Right Share Offer Price'!I13*Split!I13)/'Price Data'!I12</f>
        <v>-7.0385818561000003E-3</v>
      </c>
      <c r="J13" s="7">
        <f>('Price Data'!J13*(1+'Stock Dividend'!J13+'Right Share Ratio'!J13)*Split!J13-'Price Data'!J12-'Right Share Ratio'!J13*'Right Share Offer Price'!J13*Split!J13)/'Price Data'!J12</f>
        <v>7.1090047393364927E-2</v>
      </c>
      <c r="K13" s="7">
        <f>('Price Data'!K13*(1+'Stock Dividend'!K13+'Right Share Ratio'!K13)*Split!K13-'Price Data'!K12-'Right Share Ratio'!K13*'Right Share Offer Price'!K13*Split!K13)/'Price Data'!K12</f>
        <v>8.0645161290317994E-4</v>
      </c>
      <c r="L13" s="7">
        <f>('Price Data'!L13*(1+'Stock Dividend'!L13+'Right Share Ratio'!L13)*Split!L13-'Price Data'!L12-'Right Share Ratio'!L13*'Right Share Offer Price'!L13*Split!L13)/'Price Data'!L12</f>
        <v>1.998001998001998E-2</v>
      </c>
      <c r="M13" s="7">
        <f>('Price Data'!M13*(1+'Stock Dividend'!M13+'Right Share Ratio'!M13)*Split!M13-'Price Data'!M12-'Right Share Ratio'!M13*'Right Share Offer Price'!M13*Split!M13)/'Price Data'!M12</f>
        <v>-1.2346426193790427E-2</v>
      </c>
      <c r="N13" s="7">
        <f>('Price Data'!N13*(1+'Stock Dividend'!N13+'Right Share Ratio'!N13)*Split!N13-'Price Data'!N12-'Right Share Ratio'!N13*'Right Share Offer Price'!N13*Split!N13)/'Price Data'!N12</f>
        <v>-2.8351559335763579E-3</v>
      </c>
      <c r="O13" s="7">
        <f>('Price Data'!O13*(1+'Stock Dividend'!O13+'Right Share Ratio'!O13)*Split!O13-'Price Data'!O12-'Right Share Ratio'!O13*'Right Share Offer Price'!O13*Split!O13)/'Price Data'!O12</f>
        <v>-4.233148811462064E-2</v>
      </c>
      <c r="P13" s="7">
        <f>('Price Data'!P13*(1+'Stock Dividend'!P13+'Right Share Ratio'!P13)*Split!P13-'Price Data'!P12-'Right Share Ratio'!P13*'Right Share Offer Price'!P13*Split!P13)/'Price Data'!P12</f>
        <v>2.9136316337148725E-2</v>
      </c>
      <c r="Q13" s="7">
        <f>('Price Data'!Q13*(1+'Stock Dividend'!Q13+'Right Share Ratio'!Q13)*Split!Q13-'Price Data'!Q12-'Right Share Ratio'!Q13*'Right Share Offer Price'!Q13*Split!Q13)/'Price Data'!Q12</f>
        <v>7.8620888632428883E-3</v>
      </c>
      <c r="R13" s="7">
        <f>('Price Data'!R13*(1+'Stock Dividend'!R13+'Right Share Ratio'!R13)*Split!R13-'Price Data'!R12-'Right Share Ratio'!R13*'Right Share Offer Price'!R13*Split!R13)/'Price Data'!R12</f>
        <v>3.2497441146366345E-2</v>
      </c>
      <c r="S13" s="7">
        <f>('Price Data'!S13*(1+'Stock Dividend'!S13+'Right Share Ratio'!S13)*Split!S13-'Price Data'!S12-'Right Share Ratio'!S13*'Right Share Offer Price'!S13*Split!S13)/'Price Data'!S12</f>
        <v>3.6755467535509782E-2</v>
      </c>
      <c r="T13" s="7">
        <f>('Price Data'!T13*(1+'Stock Dividend'!T13+'Right Share Ratio'!T13)*Split!T13-'Price Data'!T12-'Right Share Ratio'!T13*'Right Share Offer Price'!T13*Split!T13)/'Price Data'!T12</f>
        <v>8.8929219600725931E-2</v>
      </c>
      <c r="U13" s="7">
        <f>('Price Data'!U13*(1+'Stock Dividend'!U13+'Right Share Ratio'!U13)*Split!U13-'Price Data'!U12-'Right Share Ratio'!U13*'Right Share Offer Price'!U13*Split!U13)/'Price Data'!U12</f>
        <v>1.5220700152206135E-3</v>
      </c>
      <c r="V13" s="7">
        <f>('Price Data'!V13*(1+'Stock Dividend'!V13+'Right Share Ratio'!V13)*Split!V13-'Price Data'!V12-'Right Share Ratio'!V13*'Right Share Offer Price'!V13*Split!V13)/'Price Data'!V12</f>
        <v>5.727923627684961E-2</v>
      </c>
    </row>
    <row r="14" spans="1:22">
      <c r="A14" s="166"/>
      <c r="B14" s="15" t="s">
        <v>24</v>
      </c>
      <c r="C14" s="7">
        <f>('Price Data'!C14*(1+'Stock Dividend'!C14+'Right Share Ratio'!C14)*Split!C14-'Price Data'!C13-'Right Share Ratio'!C14*'Right Share Offer Price'!C14*Split!C14)/'Price Data'!C13</f>
        <v>-6.9958847736625487E-2</v>
      </c>
      <c r="D14" s="7">
        <f>('Price Data'!D14*(1+'Stock Dividend'!D14+'Right Share Ratio'!D14)*Split!D14-'Price Data'!D13-'Right Share Ratio'!D14*'Right Share Offer Price'!D14*Split!D14)/'Price Data'!D13</f>
        <v>-4.1666666666666644E-2</v>
      </c>
      <c r="E14" s="7">
        <f>('Price Data'!E14*(1+'Stock Dividend'!E14+'Right Share Ratio'!E14)*Split!E14-'Price Data'!E13-'Right Share Ratio'!E14*'Right Share Offer Price'!E14*Split!E14)/'Price Data'!E13</f>
        <v>9.4839609483961057E-2</v>
      </c>
      <c r="F14" s="7">
        <f>('Price Data'!F14*(1+'Stock Dividend'!F14+'Right Share Ratio'!F14)*Split!F14-'Price Data'!F13-'Right Share Ratio'!F14*'Right Share Offer Price'!F14*Split!F14)/'Price Data'!F13</f>
        <v>-4.9919484702093418E-2</v>
      </c>
      <c r="G14" s="7">
        <f>('Price Data'!G14*(1+'Stock Dividend'!G14+'Right Share Ratio'!G14)*Split!G14-'Price Data'!G13-'Right Share Ratio'!G14*'Right Share Offer Price'!G14*Split!G14)/'Price Data'!G13</f>
        <v>-2.7027027027027001E-2</v>
      </c>
      <c r="H14" s="7">
        <f>('Price Data'!H14*(1+'Stock Dividend'!H14+'Right Share Ratio'!H14)*Split!H14-'Price Data'!H13-'Right Share Ratio'!H14*'Right Share Offer Price'!H14*Split!H14)/'Price Data'!H13</f>
        <v>-6.8226120857699815E-2</v>
      </c>
      <c r="I14" s="7">
        <f>('Price Data'!I14*(1+'Stock Dividend'!I14+'Right Share Ratio'!I14)*Split!I14-'Price Data'!I13-'Right Share Ratio'!I14*'Right Share Offer Price'!I14*Split!I14)/'Price Data'!I13</f>
        <v>-9.0574954056182794E-2</v>
      </c>
      <c r="J14" s="7">
        <f>('Price Data'!J14*(1+'Stock Dividend'!J14+'Right Share Ratio'!J14)*Split!J14-'Price Data'!J13-'Right Share Ratio'!J14*'Right Share Offer Price'!J14*Split!J14)/'Price Data'!J13</f>
        <v>-1.9911504424778886E-2</v>
      </c>
      <c r="K14" s="7">
        <f>('Price Data'!K14*(1+'Stock Dividend'!K14+'Right Share Ratio'!K14)*Split!K14-'Price Data'!K13-'Right Share Ratio'!K14*'Right Share Offer Price'!K14*Split!K14)/'Price Data'!K13</f>
        <v>-3.0620467365028183E-2</v>
      </c>
      <c r="L14" s="7">
        <f>('Price Data'!L14*(1+'Stock Dividend'!L14+'Right Share Ratio'!L14)*Split!L14-'Price Data'!L13-'Right Share Ratio'!L14*'Right Share Offer Price'!L14*Split!L14)/'Price Data'!L13</f>
        <v>1.6650342801175347E-2</v>
      </c>
      <c r="M14" s="7">
        <f>('Price Data'!M14*(1+'Stock Dividend'!M14+'Right Share Ratio'!M14)*Split!M14-'Price Data'!M13-'Right Share Ratio'!M14*'Right Share Offer Price'!M14*Split!M14)/'Price Data'!M13</f>
        <v>-3.0577854035173779E-2</v>
      </c>
      <c r="N14" s="7">
        <f>('Price Data'!N14*(1+'Stock Dividend'!N14+'Right Share Ratio'!N14)*Split!N14-'Price Data'!N13-'Right Share Ratio'!N14*'Right Share Offer Price'!N14*Split!N14)/'Price Data'!N13</f>
        <v>-8.5093419983753138E-2</v>
      </c>
      <c r="O14" s="7">
        <f>('Price Data'!O14*(1+'Stock Dividend'!O14+'Right Share Ratio'!O14)*Split!O14-'Price Data'!O13-'Right Share Ratio'!O14*'Right Share Offer Price'!O14*Split!O14)/'Price Data'!O13</f>
        <v>6.8004080244810821E-4</v>
      </c>
      <c r="P14" s="7">
        <f>('Price Data'!P14*(1+'Stock Dividend'!P14+'Right Share Ratio'!P14)*Split!P14-'Price Data'!P13-'Right Share Ratio'!P14*'Right Share Offer Price'!P14*Split!P14)/'Price Data'!P13</f>
        <v>-3.1007751937984458E-2</v>
      </c>
      <c r="Q14" s="7">
        <f>('Price Data'!Q14*(1+'Stock Dividend'!Q14+'Right Share Ratio'!Q14)*Split!Q14-'Price Data'!Q13-'Right Share Ratio'!Q14*'Right Share Offer Price'!Q14*Split!Q14)/'Price Data'!Q13</f>
        <v>-3.1139419674451406E-2</v>
      </c>
      <c r="R14" s="7">
        <f>('Price Data'!R14*(1+'Stock Dividend'!R14+'Right Share Ratio'!R14)*Split!R14-'Price Data'!R13-'Right Share Ratio'!R14*'Right Share Offer Price'!R14*Split!R14)/'Price Data'!R13</f>
        <v>1.1854605534902857E-2</v>
      </c>
      <c r="S14" s="7">
        <f>('Price Data'!S14*(1+'Stock Dividend'!S14+'Right Share Ratio'!S14)*Split!S14-'Price Data'!S13-'Right Share Ratio'!S14*'Right Share Offer Price'!S14*Split!S14)/'Price Data'!S13</f>
        <v>-1.4871110198212927E-2</v>
      </c>
      <c r="T14" s="7">
        <f>('Price Data'!T14*(1+'Stock Dividend'!T14+'Right Share Ratio'!T14)*Split!T14-'Price Data'!T13-'Right Share Ratio'!T14*'Right Share Offer Price'!T14*Split!T14)/'Price Data'!T13</f>
        <v>0.34333333333333321</v>
      </c>
      <c r="U14" s="7">
        <f>('Price Data'!U14*(1+'Stock Dividend'!U14+'Right Share Ratio'!U14)*Split!U14-'Price Data'!U13-'Right Share Ratio'!U14*'Right Share Offer Price'!U14*Split!U14)/'Price Data'!U13</f>
        <v>-8.8145896656534911E-2</v>
      </c>
      <c r="V14" s="7">
        <f>('Price Data'!V14*(1+'Stock Dividend'!V14+'Right Share Ratio'!V14)*Split!V14-'Price Data'!V13-'Right Share Ratio'!V14*'Right Share Offer Price'!V14*Split!V14)/'Price Data'!V13</f>
        <v>-4.6839729119638733E-2</v>
      </c>
    </row>
    <row r="15" spans="1:22">
      <c r="A15" s="166"/>
      <c r="B15" s="15" t="s">
        <v>25</v>
      </c>
      <c r="C15" s="7">
        <f>('Price Data'!C15*(1+'Stock Dividend'!C15+'Right Share Ratio'!C15)*Split!C15-'Price Data'!C14-'Right Share Ratio'!C15*'Right Share Offer Price'!C15*Split!C15)/'Price Data'!C14</f>
        <v>0</v>
      </c>
      <c r="D15" s="7">
        <f>('Price Data'!D15*(1+'Stock Dividend'!D15+'Right Share Ratio'!D15)*Split!D15-'Price Data'!D14-'Right Share Ratio'!D15*'Right Share Offer Price'!D15*Split!D15)/'Price Data'!D14</f>
        <v>2.1739130434782532E-2</v>
      </c>
      <c r="E15" s="7">
        <f>('Price Data'!E15*(1+'Stock Dividend'!E15+'Right Share Ratio'!E15)*Split!E15-'Price Data'!E14-'Right Share Ratio'!E15*'Right Share Offer Price'!E15*Split!E15)/'Price Data'!E14</f>
        <v>0.18544131028207456</v>
      </c>
      <c r="F15" s="7">
        <f>('Price Data'!F15*(1+'Stock Dividend'!F15+'Right Share Ratio'!F15)*Split!F15-'Price Data'!F14-'Right Share Ratio'!F15*'Right Share Offer Price'!F15*Split!F15)/'Price Data'!F14</f>
        <v>6.1016949152542396E-2</v>
      </c>
      <c r="G15" s="7">
        <f>('Price Data'!G15*(1+'Stock Dividend'!G15+'Right Share Ratio'!G15)*Split!G15-'Price Data'!G14-'Right Share Ratio'!G15*'Right Share Offer Price'!G15*Split!G15)/'Price Data'!G14</f>
        <v>-3.5714285714285657E-2</v>
      </c>
      <c r="H15" s="7">
        <f>('Price Data'!H15*(1+'Stock Dividend'!H15+'Right Share Ratio'!H15)*Split!H15-'Price Data'!H14-'Right Share Ratio'!H15*'Right Share Offer Price'!H15*Split!H15)/'Price Data'!H14</f>
        <v>3.9748953974895522E-2</v>
      </c>
      <c r="I15" s="7">
        <f>('Price Data'!I15*(1+'Stock Dividend'!I15+'Right Share Ratio'!I15)*Split!I15-'Price Data'!I14-'Right Share Ratio'!I15*'Right Share Offer Price'!I15*Split!I15)/'Price Data'!I14</f>
        <v>9.1801385681293299E-2</v>
      </c>
      <c r="J15" s="7">
        <f>('Price Data'!J15*(1+'Stock Dividend'!J15+'Right Share Ratio'!J15)*Split!J15-'Price Data'!J14-'Right Share Ratio'!J15*'Right Share Offer Price'!J15*Split!J15)/'Price Data'!J14</f>
        <v>0.19187358916478556</v>
      </c>
      <c r="K15" s="7">
        <f>('Price Data'!K15*(1+'Stock Dividend'!K15+'Right Share Ratio'!K15)*Split!K15-'Price Data'!K14-'Right Share Ratio'!K15*'Right Share Offer Price'!K15*Split!K15)/'Price Data'!K14</f>
        <v>0.13881961762261016</v>
      </c>
      <c r="L15" s="7">
        <f>('Price Data'!L15*(1+'Stock Dividend'!L15+'Right Share Ratio'!L15)*Split!L15-'Price Data'!L14-'Right Share Ratio'!L15*'Right Share Offer Price'!L15*Split!L15)/'Price Data'!L14</f>
        <v>4.6242774566473965E-2</v>
      </c>
      <c r="M15" s="7">
        <f>('Price Data'!M15*(1+'Stock Dividend'!M15+'Right Share Ratio'!M15)*Split!M15-'Price Data'!M14-'Right Share Ratio'!M15*'Right Share Offer Price'!M15*Split!M15)/'Price Data'!M14</f>
        <v>0.10025284450063221</v>
      </c>
      <c r="N15" s="7">
        <f>('Price Data'!N15*(1+'Stock Dividend'!N15+'Right Share Ratio'!N15)*Split!N15-'Price Data'!N14-'Right Share Ratio'!N15*'Right Share Offer Price'!N15*Split!N15)/'Price Data'!N14</f>
        <v>0.13529411764705895</v>
      </c>
      <c r="O15" s="7">
        <f>('Price Data'!O15*(1+'Stock Dividend'!O15+'Right Share Ratio'!O15)*Split!O15-'Price Data'!O14-'Right Share Ratio'!O15*'Right Share Offer Price'!O15*Split!O15)/'Price Data'!O14</f>
        <v>-2.2086306489976212E-2</v>
      </c>
      <c r="P15" s="7">
        <f>('Price Data'!P15*(1+'Stock Dividend'!P15+'Right Share Ratio'!P15)*Split!P15-'Price Data'!P14-'Right Share Ratio'!P15*'Right Share Offer Price'!P15*Split!P15)/'Price Data'!P14</f>
        <v>4.6956521739130432E-2</v>
      </c>
      <c r="Q15" s="7">
        <f>('Price Data'!Q15*(1+'Stock Dividend'!Q15+'Right Share Ratio'!Q15)*Split!Q15-'Price Data'!Q14-'Right Share Ratio'!Q15*'Right Share Offer Price'!Q15*Split!Q15)/'Price Data'!Q14</f>
        <v>4.9080358828309176E-3</v>
      </c>
      <c r="R15" s="7">
        <f>('Price Data'!R15*(1+'Stock Dividend'!R15+'Right Share Ratio'!R15)*Split!R15-'Price Data'!R14-'Right Share Ratio'!R15*'Right Share Offer Price'!R15*Split!R15)/'Price Data'!R14</f>
        <v>9.3480834387884605E-3</v>
      </c>
      <c r="S15" s="7">
        <f>('Price Data'!S15*(1+'Stock Dividend'!S15+'Right Share Ratio'!S15)*Split!S15-'Price Data'!S14-'Right Share Ratio'!S15*'Right Share Offer Price'!S15*Split!S15)/'Price Data'!S14</f>
        <v>2.0037113488042251E-2</v>
      </c>
      <c r="T15" s="7">
        <f>('Price Data'!T15*(1+'Stock Dividend'!T15+'Right Share Ratio'!T15)*Split!T15-'Price Data'!T14-'Right Share Ratio'!T15*'Right Share Offer Price'!T15*Split!T15)/'Price Data'!T14</f>
        <v>2.9776674937965333E-2</v>
      </c>
      <c r="U15" s="7">
        <f>('Price Data'!U15*(1+'Stock Dividend'!U15+'Right Share Ratio'!U15)*Split!U15-'Price Data'!U14-'Right Share Ratio'!U15*'Right Share Offer Price'!U15*Split!U15)/'Price Data'!U14</f>
        <v>5.1666666666666687E-2</v>
      </c>
      <c r="V15" s="7">
        <f>('Price Data'!V15*(1+'Stock Dividend'!V15+'Right Share Ratio'!V15)*Split!V15-'Price Data'!V14-'Right Share Ratio'!V15*'Right Share Offer Price'!V15*Split!V15)/'Price Data'!V14</f>
        <v>7.6968620485493361E-3</v>
      </c>
    </row>
    <row r="16" spans="1:22">
      <c r="A16" s="166"/>
      <c r="B16" s="15" t="s">
        <v>26</v>
      </c>
      <c r="C16" s="7">
        <f>('Price Data'!C16*(1+'Stock Dividend'!C16+'Right Share Ratio'!C16)*Split!C16-'Price Data'!C15-'Right Share Ratio'!C16*'Right Share Offer Price'!C16*Split!C16)/'Price Data'!C15</f>
        <v>-2.5811209439528127E-3</v>
      </c>
      <c r="D16" s="7">
        <f>('Price Data'!D16*(1+'Stock Dividend'!D16+'Right Share Ratio'!D16)*Split!D16-'Price Data'!D15-'Right Share Ratio'!D16*'Right Share Offer Price'!D16*Split!D16)/'Price Data'!D15</f>
        <v>-2.1276595744680778E-2</v>
      </c>
      <c r="E16" s="7">
        <f>('Price Data'!E16*(1+'Stock Dividend'!E16+'Right Share Ratio'!E16)*Split!E16-'Price Data'!E15-'Right Share Ratio'!E16*'Right Share Offer Price'!E16*Split!E16)/'Price Data'!E15</f>
        <v>-2.7786306416948146E-2</v>
      </c>
      <c r="F16" s="7">
        <f>('Price Data'!F16*(1+'Stock Dividend'!F16+'Right Share Ratio'!F16)*Split!F16-'Price Data'!F15-'Right Share Ratio'!F16*'Right Share Offer Price'!F16*Split!F16)/'Price Data'!F15</f>
        <v>-7.6677316293929779E-2</v>
      </c>
      <c r="G16" s="7">
        <f>('Price Data'!G16*(1+'Stock Dividend'!G16+'Right Share Ratio'!G16)*Split!G16-'Price Data'!G15-'Right Share Ratio'!G16*'Right Share Offer Price'!G16*Split!G16)/'Price Data'!G15</f>
        <v>-4.3209876543209902E-2</v>
      </c>
      <c r="H16" s="7">
        <f>('Price Data'!H16*(1+'Stock Dividend'!H16+'Right Share Ratio'!H16)*Split!H16-'Price Data'!H15-'Right Share Ratio'!H16*'Right Share Offer Price'!H16*Split!H16)/'Price Data'!H15</f>
        <v>-7.2434607645875282E-2</v>
      </c>
      <c r="I16" s="7">
        <f>('Price Data'!I16*(1+'Stock Dividend'!I16+'Right Share Ratio'!I16)*Split!I16-'Price Data'!I15-'Right Share Ratio'!I16*'Right Share Offer Price'!I16*Split!I16)/'Price Data'!I15</f>
        <v>1.9301956636700077E-2</v>
      </c>
      <c r="J16" s="7">
        <f>('Price Data'!J16*(1+'Stock Dividend'!J16+'Right Share Ratio'!J16)*Split!J16-'Price Data'!J15-'Right Share Ratio'!J16*'Right Share Offer Price'!J16*Split!J16)/'Price Data'!J15</f>
        <v>0.12878787878787887</v>
      </c>
      <c r="K16" s="7">
        <f>('Price Data'!K16*(1+'Stock Dividend'!K16+'Right Share Ratio'!K16)*Split!K16-'Price Data'!K15-'Right Share Ratio'!K16*'Right Share Offer Price'!K16*Split!K16)/'Price Data'!K15</f>
        <v>-5.4014598540146029E-2</v>
      </c>
      <c r="L16" s="7">
        <f>('Price Data'!L16*(1+'Stock Dividend'!L16+'Right Share Ratio'!L16)*Split!L16-'Price Data'!L15-'Right Share Ratio'!L16*'Right Share Offer Price'!L16*Split!L16)/'Price Data'!L15</f>
        <v>0.30294659300184168</v>
      </c>
      <c r="M16" s="7">
        <f>('Price Data'!M16*(1+'Stock Dividend'!M16+'Right Share Ratio'!M16)*Split!M16-'Price Data'!M15-'Right Share Ratio'!M16*'Right Share Offer Price'!M16*Split!M16)/'Price Data'!M15</f>
        <v>5.0097667470987012E-2</v>
      </c>
      <c r="N16" s="7">
        <f>('Price Data'!N16*(1+'Stock Dividend'!N16+'Right Share Ratio'!N16)*Split!N16-'Price Data'!N15-'Right Share Ratio'!N16*'Right Share Offer Price'!N16*Split!N16)/'Price Data'!N15</f>
        <v>-8.1044090331410745E-2</v>
      </c>
      <c r="O16" s="7">
        <f>('Price Data'!O16*(1+'Stock Dividend'!O16+'Right Share Ratio'!O16)*Split!O16-'Price Data'!O15-'Right Share Ratio'!O16*'Right Share Offer Price'!O16*Split!O16)/'Price Data'!O15</f>
        <v>-4.1695621959693839E-3</v>
      </c>
      <c r="P16" s="7">
        <f>('Price Data'!P16*(1+'Stock Dividend'!P16+'Right Share Ratio'!P16)*Split!P16-'Price Data'!P15-'Right Share Ratio'!P16*'Right Share Offer Price'!P16*Split!P16)/'Price Data'!P15</f>
        <v>1.7940199335548097E-2</v>
      </c>
      <c r="Q16" s="7">
        <f>('Price Data'!Q16*(1+'Stock Dividend'!Q16+'Right Share Ratio'!Q16)*Split!Q16-'Price Data'!Q15-'Right Share Ratio'!Q16*'Right Share Offer Price'!Q16*Split!Q16)/'Price Data'!Q15</f>
        <v>-5.2679293362409407E-3</v>
      </c>
      <c r="R16" s="7">
        <f>('Price Data'!R16*(1+'Stock Dividend'!R16+'Right Share Ratio'!R16)*Split!R16-'Price Data'!R15-'Right Share Ratio'!R16*'Right Share Offer Price'!R16*Split!R16)/'Price Data'!R15</f>
        <v>-1.694572514761793E-2</v>
      </c>
      <c r="S16" s="7">
        <f>('Price Data'!S16*(1+'Stock Dividend'!S16+'Right Share Ratio'!S16)*Split!S16-'Price Data'!S15-'Right Share Ratio'!S16*'Right Share Offer Price'!S16*Split!S16)/'Price Data'!S15</f>
        <v>-1.253015003474923E-2</v>
      </c>
      <c r="T16" s="7">
        <f>('Price Data'!T16*(1+'Stock Dividend'!T16+'Right Share Ratio'!T16)*Split!T16-'Price Data'!T15-'Right Share Ratio'!T16*'Right Share Offer Price'!T16*Split!T16)/'Price Data'!T15</f>
        <v>-7.2289156626506021E-2</v>
      </c>
      <c r="U16" s="7">
        <f>('Price Data'!U16*(1+'Stock Dividend'!U16+'Right Share Ratio'!U16)*Split!U16-'Price Data'!U15-'Right Share Ratio'!U16*'Right Share Offer Price'!U16*Split!U16)/'Price Data'!U15</f>
        <v>0.34389857369255145</v>
      </c>
      <c r="V16" s="7">
        <f>('Price Data'!V16*(1+'Stock Dividend'!V16+'Right Share Ratio'!V16)*Split!V16-'Price Data'!V15-'Right Share Ratio'!V16*'Right Share Offer Price'!V16*Split!V16)/'Price Data'!V15</f>
        <v>-1.6451233842538091E-2</v>
      </c>
    </row>
    <row r="17" spans="1:22">
      <c r="A17" s="166"/>
      <c r="B17" s="15" t="s">
        <v>15</v>
      </c>
      <c r="C17" s="7">
        <f>('Price Data'!C17*(1+'Stock Dividend'!C17+'Right Share Ratio'!C17)*Split!C17-'Price Data'!C16-'Right Share Ratio'!C17*'Right Share Offer Price'!C17*Split!C17)/'Price Data'!C16</f>
        <v>0</v>
      </c>
      <c r="D17" s="7">
        <f>('Price Data'!D17*(1+'Stock Dividend'!D17+'Right Share Ratio'!D17)*Split!D17-'Price Data'!D16-'Right Share Ratio'!D17*'Right Share Offer Price'!D17*Split!D17)/'Price Data'!D16</f>
        <v>0</v>
      </c>
      <c r="E17" s="7">
        <f>('Price Data'!E17*(1+'Stock Dividend'!E17+'Right Share Ratio'!E17)*Split!E17-'Price Data'!E16-'Right Share Ratio'!E17*'Right Share Offer Price'!E17*Split!E17)/'Price Data'!E16</f>
        <v>-0.13374388125690825</v>
      </c>
      <c r="F17" s="7">
        <f>('Price Data'!F17*(1+'Stock Dividend'!F17+'Right Share Ratio'!F17)*Split!F17-'Price Data'!F16-'Right Share Ratio'!F17*'Right Share Offer Price'!F17*Split!F17)/'Price Data'!F16</f>
        <v>0</v>
      </c>
      <c r="G17" s="7">
        <f>('Price Data'!G17*(1+'Stock Dividend'!G17+'Right Share Ratio'!G17)*Split!G17-'Price Data'!G16-'Right Share Ratio'!G17*'Right Share Offer Price'!G17*Split!G17)/'Price Data'!G16</f>
        <v>0</v>
      </c>
      <c r="H17" s="7">
        <f>('Price Data'!H17*(1+'Stock Dividend'!H17+'Right Share Ratio'!H17)*Split!H17-'Price Data'!H16-'Right Share Ratio'!H17*'Right Share Offer Price'!H17*Split!H17)/'Price Data'!H16</f>
        <v>-3.6876355748373162E-2</v>
      </c>
      <c r="I17" s="7">
        <f>('Price Data'!I17*(1+'Stock Dividend'!I17+'Right Share Ratio'!I17)*Split!I17-'Price Data'!I16-'Right Share Ratio'!I17*'Right Share Offer Price'!I17*Split!I17)/'Price Data'!I16</f>
        <v>-6.1478599221789824E-2</v>
      </c>
      <c r="J17" s="7">
        <f>('Price Data'!J17*(1+'Stock Dividend'!J17+'Right Share Ratio'!J17)*Split!J17-'Price Data'!J16-'Right Share Ratio'!J17*'Right Share Offer Price'!J17*Split!J17)/'Price Data'!J16</f>
        <v>4.8657718120805347E-2</v>
      </c>
      <c r="K17" s="7">
        <f>('Price Data'!K17*(1+'Stock Dividend'!K17+'Right Share Ratio'!K17)*Split!K17-'Price Data'!K16-'Right Share Ratio'!K17*'Right Share Offer Price'!K17*Split!K17)/'Price Data'!K16</f>
        <v>-0.12268518518518512</v>
      </c>
      <c r="L17" s="7">
        <f>('Price Data'!L17*(1+'Stock Dividend'!L17+'Right Share Ratio'!L17)*Split!L17-'Price Data'!L16-'Right Share Ratio'!L17*'Right Share Offer Price'!L17*Split!L17)/'Price Data'!L16</f>
        <v>-0.23886925795053002</v>
      </c>
      <c r="M17" s="7">
        <f>('Price Data'!M17*(1+'Stock Dividend'!M17+'Right Share Ratio'!M17)*Split!M17-'Price Data'!M16-'Right Share Ratio'!M17*'Right Share Offer Price'!M17*Split!M17)/'Price Data'!M16</f>
        <v>2.4592406171353564E-2</v>
      </c>
      <c r="N17" s="7">
        <f>('Price Data'!N17*(1+'Stock Dividend'!N17+'Right Share Ratio'!N17)*Split!N17-'Price Data'!N16-'Right Share Ratio'!N17*'Right Share Offer Price'!N17*Split!N17)/'Price Data'!N16</f>
        <v>-5.2659574468085134E-2</v>
      </c>
      <c r="O17" s="7">
        <f>('Price Data'!O17*(1+'Stock Dividend'!O17+'Right Share Ratio'!O17)*Split!O17-'Price Data'!O16-'Right Share Ratio'!O17*'Right Share Offer Price'!O17*Split!O17)/'Price Data'!O16</f>
        <v>0</v>
      </c>
      <c r="P17" s="7">
        <f>('Price Data'!P17*(1+'Stock Dividend'!P17+'Right Share Ratio'!P17)*Split!P17-'Price Data'!P16-'Right Share Ratio'!P17*'Right Share Offer Price'!P17*Split!P17)/'Price Data'!P16</f>
        <v>-6.4621409921670869E-2</v>
      </c>
      <c r="Q17" s="7">
        <f>('Price Data'!Q17*(1+'Stock Dividend'!Q17+'Right Share Ratio'!Q17)*Split!Q17-'Price Data'!Q16-'Right Share Ratio'!Q17*'Right Share Offer Price'!Q17*Split!Q17)/'Price Data'!Q16</f>
        <v>0</v>
      </c>
      <c r="R17" s="7">
        <f>('Price Data'!R17*(1+'Stock Dividend'!R17+'Right Share Ratio'!R17)*Split!R17-'Price Data'!R16-'Right Share Ratio'!R17*'Right Share Offer Price'!R17*Split!R17)/'Price Data'!R16</f>
        <v>-3.7849179248775327E-3</v>
      </c>
      <c r="S17" s="7">
        <f>('Price Data'!S17*(1+'Stock Dividend'!S17+'Right Share Ratio'!S17)*Split!S17-'Price Data'!S16-'Right Share Ratio'!S17*'Right Share Offer Price'!S17*Split!S17)/'Price Data'!S16</f>
        <v>-1.4531453766378899E-2</v>
      </c>
      <c r="T17" s="7">
        <f>('Price Data'!T17*(1+'Stock Dividend'!T17+'Right Share Ratio'!T17)*Split!T17-'Price Data'!T16-'Right Share Ratio'!T17*'Right Share Offer Price'!T17*Split!T17)/'Price Data'!T16</f>
        <v>0.21298701298701306</v>
      </c>
      <c r="U17" s="7">
        <f>('Price Data'!U17*(1+'Stock Dividend'!U17+'Right Share Ratio'!U17)*Split!U17-'Price Data'!U16-'Right Share Ratio'!U17*'Right Share Offer Price'!U17*Split!U17)/'Price Data'!U16</f>
        <v>0.54481132075471705</v>
      </c>
      <c r="V17" s="7">
        <f>('Price Data'!V17*(1+'Stock Dividend'!V17+'Right Share Ratio'!V17)*Split!V17-'Price Data'!V16-'Right Share Ratio'!V17*'Right Share Offer Price'!V17*Split!V17)/'Price Data'!V16</f>
        <v>5.9737156511346663E-4</v>
      </c>
    </row>
    <row r="18" spans="1:22">
      <c r="A18" s="166"/>
      <c r="B18" s="15" t="s">
        <v>16</v>
      </c>
      <c r="C18" s="7">
        <f>('Price Data'!C18*(1+'Stock Dividend'!C18+'Right Share Ratio'!C18)*Split!C18-'Price Data'!C17-'Right Share Ratio'!C18*'Right Share Offer Price'!C18*Split!C18)/'Price Data'!C17</f>
        <v>0</v>
      </c>
      <c r="D18" s="7">
        <f>('Price Data'!D18*(1+'Stock Dividend'!D18+'Right Share Ratio'!D18)*Split!D18-'Price Data'!D17-'Right Share Ratio'!D18*'Right Share Offer Price'!D18*Split!D18)/'Price Data'!D17</f>
        <v>0</v>
      </c>
      <c r="E18" s="7">
        <f>('Price Data'!E18*(1+'Stock Dividend'!E18+'Right Share Ratio'!E18)*Split!E18-'Price Data'!E17-'Right Share Ratio'!E18*'Right Share Offer Price'!E18*Split!E18)/'Price Data'!E17</f>
        <v>0</v>
      </c>
      <c r="F18" s="7">
        <f>('Price Data'!F18*(1+'Stock Dividend'!F18+'Right Share Ratio'!F18)*Split!F18-'Price Data'!F17-'Right Share Ratio'!F18*'Right Share Offer Price'!F18*Split!F18)/'Price Data'!F17</f>
        <v>0</v>
      </c>
      <c r="G18" s="7">
        <f>('Price Data'!G18*(1+'Stock Dividend'!G18+'Right Share Ratio'!G18)*Split!G18-'Price Data'!G17-'Right Share Ratio'!G18*'Right Share Offer Price'!G18*Split!G18)/'Price Data'!G17</f>
        <v>0</v>
      </c>
      <c r="H18" s="7">
        <f>('Price Data'!H18*(1+'Stock Dividend'!H18+'Right Share Ratio'!H18)*Split!H18-'Price Data'!H17-'Right Share Ratio'!H18*'Right Share Offer Price'!H18*Split!H18)/'Price Data'!H17</f>
        <v>-1.8018018018017955E-2</v>
      </c>
      <c r="I18" s="7">
        <f>('Price Data'!I18*(1+'Stock Dividend'!I18+'Right Share Ratio'!I18)*Split!I18-'Price Data'!I17-'Right Share Ratio'!I18*'Right Share Offer Price'!I18*Split!I18)/'Price Data'!I17</f>
        <v>-4.7816473189607432E-2</v>
      </c>
      <c r="J18" s="7">
        <f>('Price Data'!J18*(1+'Stock Dividend'!J18+'Right Share Ratio'!J18)*Split!J18-'Price Data'!J17-'Right Share Ratio'!J18*'Right Share Offer Price'!J18*Split!J18)/'Price Data'!J17</f>
        <v>-6.8799999999999958E-2</v>
      </c>
      <c r="K18" s="7">
        <f>('Price Data'!K18*(1+'Stock Dividend'!K18+'Right Share Ratio'!K18)*Split!K18-'Price Data'!K17-'Right Share Ratio'!K18*'Right Share Offer Price'!K18*Split!K18)/'Price Data'!K17</f>
        <v>5.7167985927880388E-2</v>
      </c>
      <c r="L18" s="7">
        <f>('Price Data'!L18*(1+'Stock Dividend'!L18+'Right Share Ratio'!L18)*Split!L18-'Price Data'!L17-'Right Share Ratio'!L18*'Right Share Offer Price'!L18*Split!L18)/'Price Data'!L17</f>
        <v>-3.6211699164345454E-2</v>
      </c>
      <c r="M18" s="7">
        <f>('Price Data'!M18*(1+'Stock Dividend'!M18+'Right Share Ratio'!M18)*Split!M18-'Price Data'!M17-'Right Share Ratio'!M18*'Right Share Offer Price'!M18*Split!M18)/'Price Data'!M17</f>
        <v>0</v>
      </c>
      <c r="N18" s="7">
        <f>('Price Data'!N18*(1+'Stock Dividend'!N18+'Right Share Ratio'!N18)*Split!N18-'Price Data'!N17-'Right Share Ratio'!N18*'Right Share Offer Price'!N18*Split!N18)/'Price Data'!N17</f>
        <v>0</v>
      </c>
      <c r="O18" s="7">
        <f>('Price Data'!O18*(1+'Stock Dividend'!O18+'Right Share Ratio'!O18)*Split!O18-'Price Data'!O17-'Right Share Ratio'!O18*'Right Share Offer Price'!O18*Split!O18)/'Price Data'!O17</f>
        <v>0</v>
      </c>
      <c r="P18" s="7">
        <f>('Price Data'!P18*(1+'Stock Dividend'!P18+'Right Share Ratio'!P18)*Split!P18-'Price Data'!P17-'Right Share Ratio'!P18*'Right Share Offer Price'!P18*Split!P18)/'Price Data'!P17</f>
        <v>0</v>
      </c>
      <c r="Q18" s="7">
        <f>('Price Data'!Q18*(1+'Stock Dividend'!Q18+'Right Share Ratio'!Q18)*Split!Q18-'Price Data'!Q17-'Right Share Ratio'!Q18*'Right Share Offer Price'!Q18*Split!Q18)/'Price Data'!Q17</f>
        <v>6.9964858695830814E-2</v>
      </c>
      <c r="R18" s="7">
        <f>('Price Data'!R18*(1+'Stock Dividend'!R18+'Right Share Ratio'!R18)*Split!R18-'Price Data'!R17-'Right Share Ratio'!R18*'Right Share Offer Price'!R18*Split!R18)/'Price Data'!R17</f>
        <v>0</v>
      </c>
      <c r="S18" s="7">
        <f>('Price Data'!S18*(1+'Stock Dividend'!S18+'Right Share Ratio'!S18)*Split!S18-'Price Data'!S17-'Right Share Ratio'!S18*'Right Share Offer Price'!S18*Split!S18)/'Price Data'!S17</f>
        <v>0</v>
      </c>
      <c r="T18" s="7">
        <f>('Price Data'!T18*(1+'Stock Dividend'!T18+'Right Share Ratio'!T18)*Split!T18-'Price Data'!T17-'Right Share Ratio'!T18*'Right Share Offer Price'!T18*Split!T18)/'Price Data'!T17</f>
        <v>-0.17558886509635979</v>
      </c>
      <c r="U18" s="7">
        <f>('Price Data'!U18*(1+'Stock Dividend'!U18+'Right Share Ratio'!U18)*Split!U18-'Price Data'!U17-'Right Share Ratio'!U18*'Right Share Offer Price'!U18*Split!U18)/'Price Data'!U17</f>
        <v>-0.22595419847328241</v>
      </c>
      <c r="V18" s="7">
        <f>('Price Data'!V18*(1+'Stock Dividend'!V18+'Right Share Ratio'!V18)*Split!V18-'Price Data'!V17-'Right Share Ratio'!V18*'Right Share Offer Price'!V18*Split!V18)/'Price Data'!V17</f>
        <v>8.9552238805970154E-3</v>
      </c>
    </row>
    <row r="19" spans="1:22">
      <c r="A19" s="166"/>
      <c r="B19" s="15" t="s">
        <v>17</v>
      </c>
      <c r="C19" s="7">
        <f>('Price Data'!C19*(1+'Stock Dividend'!C19+'Right Share Ratio'!C19)*Split!C19-'Price Data'!C18-'Right Share Ratio'!C19*'Right Share Offer Price'!C19*Split!C19)/'Price Data'!C18</f>
        <v>0</v>
      </c>
      <c r="D19" s="7">
        <f>('Price Data'!D19*(1+'Stock Dividend'!D19+'Right Share Ratio'!D19)*Split!D19-'Price Data'!D18-'Right Share Ratio'!D19*'Right Share Offer Price'!D19*Split!D19)/'Price Data'!D18</f>
        <v>0</v>
      </c>
      <c r="E19" s="7">
        <f>('Price Data'!E19*(1+'Stock Dividend'!E19+'Right Share Ratio'!E19)*Split!E19-'Price Data'!E18-'Right Share Ratio'!E19*'Right Share Offer Price'!E19*Split!E19)/'Price Data'!E18</f>
        <v>0</v>
      </c>
      <c r="F19" s="7">
        <f>('Price Data'!F19*(1+'Stock Dividend'!F19+'Right Share Ratio'!F19)*Split!F19-'Price Data'!F18-'Right Share Ratio'!F19*'Right Share Offer Price'!F19*Split!F19)/'Price Data'!F18</f>
        <v>0</v>
      </c>
      <c r="G19" s="7">
        <f>('Price Data'!G19*(1+'Stock Dividend'!G19+'Right Share Ratio'!G19)*Split!G19-'Price Data'!G18-'Right Share Ratio'!G19*'Right Share Offer Price'!G19*Split!G19)/'Price Data'!G18</f>
        <v>-4.3010752688172046E-2</v>
      </c>
      <c r="H19" s="7">
        <f>('Price Data'!H19*(1+'Stock Dividend'!H19+'Right Share Ratio'!H19)*Split!H19-'Price Data'!H18-'Right Share Ratio'!H19*'Right Share Offer Price'!H19*Split!H19)/'Price Data'!H18</f>
        <v>-4.5871559633027519E-2</v>
      </c>
      <c r="I19" s="7">
        <f>('Price Data'!I19*(1+'Stock Dividend'!I19+'Right Share Ratio'!I19)*Split!I19-'Price Data'!I18-'Right Share Ratio'!I19*'Right Share Offer Price'!I19*Split!I19)/'Price Data'!I18</f>
        <v>0</v>
      </c>
      <c r="J19" s="7">
        <f>('Price Data'!J19*(1+'Stock Dividend'!J19+'Right Share Ratio'!J19)*Split!J19-'Price Data'!J18-'Right Share Ratio'!J19*'Right Share Offer Price'!J19*Split!J19)/'Price Data'!J18</f>
        <v>2.5773195876288658E-2</v>
      </c>
      <c r="K19" s="7">
        <f>('Price Data'!K19*(1+'Stock Dividend'!K19+'Right Share Ratio'!K19)*Split!K19-'Price Data'!K18-'Right Share Ratio'!K19*'Right Share Offer Price'!K19*Split!K19)/'Price Data'!K18</f>
        <v>3.1613976705490827E-2</v>
      </c>
      <c r="L19" s="7">
        <f>('Price Data'!L19*(1+'Stock Dividend'!L19+'Right Share Ratio'!L19)*Split!L19-'Price Data'!L18-'Right Share Ratio'!L19*'Right Share Offer Price'!L19*Split!L19)/'Price Data'!L18</f>
        <v>-1.9267822736031104E-3</v>
      </c>
      <c r="M19" s="7">
        <f>('Price Data'!M19*(1+'Stock Dividend'!M19+'Right Share Ratio'!M19)*Split!M19-'Price Data'!M18-'Right Share Ratio'!M19*'Right Share Offer Price'!M19*Split!M19)/'Price Data'!M18</f>
        <v>1.7856093979441951E-2</v>
      </c>
      <c r="N19" s="7">
        <f>('Price Data'!N19*(1+'Stock Dividend'!N19+'Right Share Ratio'!N19)*Split!N19-'Price Data'!N18-'Right Share Ratio'!N19*'Right Share Offer Price'!N19*Split!N19)/'Price Data'!N18</f>
        <v>4.9410443571027578E-2</v>
      </c>
      <c r="O19" s="7">
        <f>('Price Data'!O19*(1+'Stock Dividend'!O19+'Right Share Ratio'!O19)*Split!O19-'Price Data'!O18-'Right Share Ratio'!O19*'Right Share Offer Price'!O19*Split!O19)/'Price Data'!O18</f>
        <v>0</v>
      </c>
      <c r="P19" s="7">
        <f>('Price Data'!P19*(1+'Stock Dividend'!P19+'Right Share Ratio'!P19)*Split!P19-'Price Data'!P18-'Right Share Ratio'!P19*'Right Share Offer Price'!P19*Split!P19)/'Price Data'!P18</f>
        <v>0</v>
      </c>
      <c r="Q19" s="7">
        <f>('Price Data'!Q19*(1+'Stock Dividend'!Q19+'Right Share Ratio'!Q19)*Split!Q19-'Price Data'!Q18-'Right Share Ratio'!Q19*'Right Share Offer Price'!Q19*Split!Q19)/'Price Data'!Q18</f>
        <v>0</v>
      </c>
      <c r="R19" s="7">
        <f>('Price Data'!R19*(1+'Stock Dividend'!R19+'Right Share Ratio'!R19)*Split!R19-'Price Data'!R18-'Right Share Ratio'!R19*'Right Share Offer Price'!R19*Split!R19)/'Price Data'!R18</f>
        <v>0</v>
      </c>
      <c r="S19" s="7">
        <f>('Price Data'!S19*(1+'Stock Dividend'!S19+'Right Share Ratio'!S19)*Split!S19-'Price Data'!S18-'Right Share Ratio'!S19*'Right Share Offer Price'!S19*Split!S19)/'Price Data'!S18</f>
        <v>0</v>
      </c>
      <c r="T19" s="7">
        <f>('Price Data'!T19*(1+'Stock Dividend'!T19+'Right Share Ratio'!T19)*Split!T19-'Price Data'!T18-'Right Share Ratio'!T19*'Right Share Offer Price'!T19*Split!T19)/'Price Data'!T18</f>
        <v>0</v>
      </c>
      <c r="U19" s="7">
        <f>('Price Data'!U19*(1+'Stock Dividend'!U19+'Right Share Ratio'!U19)*Split!U19-'Price Data'!U18-'Right Share Ratio'!U19*'Right Share Offer Price'!U19*Split!U19)/'Price Data'!U18</f>
        <v>0.12524654832347129</v>
      </c>
      <c r="V19" s="7">
        <f>('Price Data'!V19*(1+'Stock Dividend'!V19+'Right Share Ratio'!V19)*Split!V19-'Price Data'!V18-'Right Share Ratio'!V19*'Right Share Offer Price'!V19*Split!V19)/'Price Data'!V18</f>
        <v>-1.0059171597633068E-2</v>
      </c>
    </row>
    <row r="20" spans="1:22">
      <c r="A20" s="167">
        <v>2023</v>
      </c>
      <c r="B20" s="16" t="s">
        <v>18</v>
      </c>
      <c r="C20" s="7">
        <f>('Price Data'!C20*(1+'Stock Dividend'!C20+'Right Share Ratio'!C20)*Split!C20-'Price Data'!C19-'Right Share Ratio'!C20*'Right Share Offer Price'!C20*Split!C20)/'Price Data'!C19</f>
        <v>0</v>
      </c>
      <c r="D20" s="7">
        <f>('Price Data'!D20*(1+'Stock Dividend'!D20+'Right Share Ratio'!D20)*Split!D20-'Price Data'!D19-'Right Share Ratio'!D20*'Right Share Offer Price'!D20*Split!D20)/'Price Data'!D19</f>
        <v>0</v>
      </c>
      <c r="E20" s="7">
        <f>('Price Data'!E20*(1+'Stock Dividend'!E20+'Right Share Ratio'!E20)*Split!E20-'Price Data'!E19-'Right Share Ratio'!E20*'Right Share Offer Price'!E20*Split!E20)/'Price Data'!E19</f>
        <v>0</v>
      </c>
      <c r="F20" s="7">
        <f>('Price Data'!F20*(1+'Stock Dividend'!F20+'Right Share Ratio'!F20)*Split!F20-'Price Data'!F19-'Right Share Ratio'!F20*'Right Share Offer Price'!F20*Split!F20)/'Price Data'!F19</f>
        <v>0</v>
      </c>
      <c r="G20" s="7">
        <f>('Price Data'!G20*(1+'Stock Dividend'!G20+'Right Share Ratio'!G20)*Split!G20-'Price Data'!G19-'Right Share Ratio'!G20*'Right Share Offer Price'!G20*Split!G20)/'Price Data'!G19</f>
        <v>-2.247191011235955E-2</v>
      </c>
      <c r="H20" s="7">
        <f>('Price Data'!H20*(1+'Stock Dividend'!H20+'Right Share Ratio'!H20)*Split!H20-'Price Data'!H19-'Right Share Ratio'!H20*'Right Share Offer Price'!H20*Split!H20)/'Price Data'!H19</f>
        <v>0.15144230769230763</v>
      </c>
      <c r="I20" s="7">
        <f>('Price Data'!I20*(1+'Stock Dividend'!I20+'Right Share Ratio'!I20)*Split!I20-'Price Data'!I19-'Right Share Ratio'!I20*'Right Share Offer Price'!I20*Split!I20)/'Price Data'!I19</f>
        <v>0</v>
      </c>
      <c r="J20" s="7">
        <f>('Price Data'!J20*(1+'Stock Dividend'!J20+'Right Share Ratio'!J20)*Split!J20-'Price Data'!J19-'Right Share Ratio'!J20*'Right Share Offer Price'!J20*Split!J20)/'Price Data'!J19</f>
        <v>-3.350083752093802E-2</v>
      </c>
      <c r="K20" s="7">
        <f>('Price Data'!K20*(1+'Stock Dividend'!K20+'Right Share Ratio'!K20)*Split!K20-'Price Data'!K19-'Right Share Ratio'!K20*'Right Share Offer Price'!K20*Split!K20)/'Price Data'!K19</f>
        <v>0.11290322580645161</v>
      </c>
      <c r="L20" s="7">
        <f>('Price Data'!L20*(1+'Stock Dividend'!L20+'Right Share Ratio'!L20)*Split!L20-'Price Data'!L19-'Right Share Ratio'!L20*'Right Share Offer Price'!L20*Split!L20)/'Price Data'!L19</f>
        <v>0</v>
      </c>
      <c r="M20" s="7">
        <f>('Price Data'!M20*(1+'Stock Dividend'!M20+'Right Share Ratio'!M20)*Split!M20-'Price Data'!M19-'Right Share Ratio'!M20*'Right Share Offer Price'!M20*Split!M20)/'Price Data'!M19</f>
        <v>-1.7542847250274062E-2</v>
      </c>
      <c r="N20" s="7">
        <f>('Price Data'!N20*(1+'Stock Dividend'!N20+'Right Share Ratio'!N20)*Split!N20-'Price Data'!N19-'Right Share Ratio'!N20*'Right Share Offer Price'!N20*Split!N20)/'Price Data'!N19</f>
        <v>0</v>
      </c>
      <c r="O20" s="7">
        <f>('Price Data'!O20*(1+'Stock Dividend'!O20+'Right Share Ratio'!O20)*Split!O20-'Price Data'!O19-'Right Share Ratio'!O20*'Right Share Offer Price'!O20*Split!O20)/'Price Data'!O19</f>
        <v>0</v>
      </c>
      <c r="P20" s="7">
        <f>('Price Data'!P20*(1+'Stock Dividend'!P20+'Right Share Ratio'!P20)*Split!P20-'Price Data'!P19-'Right Share Ratio'!P20*'Right Share Offer Price'!P20*Split!P20)/'Price Data'!P19</f>
        <v>0</v>
      </c>
      <c r="Q20" s="7">
        <f>('Price Data'!Q20*(1+'Stock Dividend'!Q20+'Right Share Ratio'!Q20)*Split!Q20-'Price Data'!Q19-'Right Share Ratio'!Q20*'Right Share Offer Price'!Q20*Split!Q20)/'Price Data'!Q19</f>
        <v>0</v>
      </c>
      <c r="R20" s="7">
        <f>('Price Data'!R20*(1+'Stock Dividend'!R20+'Right Share Ratio'!R20)*Split!R20-'Price Data'!R19-'Right Share Ratio'!R20*'Right Share Offer Price'!R20*Split!R20)/'Price Data'!R19</f>
        <v>0</v>
      </c>
      <c r="S20" s="7">
        <f>('Price Data'!S20*(1+'Stock Dividend'!S20+'Right Share Ratio'!S20)*Split!S20-'Price Data'!S19-'Right Share Ratio'!S20*'Right Share Offer Price'!S20*Split!S20)/'Price Data'!S19</f>
        <v>0</v>
      </c>
      <c r="T20" s="7">
        <f>('Price Data'!T20*(1+'Stock Dividend'!T20+'Right Share Ratio'!T20)*Split!T20-'Price Data'!T19-'Right Share Ratio'!T20*'Right Share Offer Price'!T20*Split!T20)/'Price Data'!T19</f>
        <v>0</v>
      </c>
      <c r="U20" s="7">
        <f>('Price Data'!U20*(1+'Stock Dividend'!U20+'Right Share Ratio'!U20)*Split!U20-'Price Data'!U19-'Right Share Ratio'!U20*'Right Share Offer Price'!U20*Split!U20)/'Price Data'!U19</f>
        <v>7.8878177037686736E-3</v>
      </c>
      <c r="V20" s="7">
        <f>('Price Data'!V20*(1+'Stock Dividend'!V20+'Right Share Ratio'!V20)*Split!V20-'Price Data'!V19-'Right Share Ratio'!V20*'Right Share Offer Price'!V20*Split!V20)/'Price Data'!V19</f>
        <v>1.6138673042438663E-2</v>
      </c>
    </row>
    <row r="21" spans="1:22">
      <c r="A21" s="167"/>
      <c r="B21" s="16" t="s">
        <v>19</v>
      </c>
      <c r="C21" s="7">
        <f>('Price Data'!C21*(1+'Stock Dividend'!C21+'Right Share Ratio'!C21)*Split!C21-'Price Data'!C20-'Right Share Ratio'!C21*'Right Share Offer Price'!C21*Split!C21)/'Price Data'!C20</f>
        <v>0</v>
      </c>
      <c r="D21" s="7">
        <f>('Price Data'!D21*(1+'Stock Dividend'!D21+'Right Share Ratio'!D21)*Split!D21-'Price Data'!D20-'Right Share Ratio'!D21*'Right Share Offer Price'!D21*Split!D21)/'Price Data'!D20</f>
        <v>0</v>
      </c>
      <c r="E21" s="7">
        <f>('Price Data'!E21*(1+'Stock Dividend'!E21+'Right Share Ratio'!E21)*Split!E21-'Price Data'!E20-'Right Share Ratio'!E21*'Right Share Offer Price'!E21*Split!E21)/'Price Data'!E20</f>
        <v>0</v>
      </c>
      <c r="F21" s="7">
        <f>('Price Data'!F21*(1+'Stock Dividend'!F21+'Right Share Ratio'!F21)*Split!F21-'Price Data'!F20-'Right Share Ratio'!F21*'Right Share Offer Price'!F21*Split!F21)/'Price Data'!F20</f>
        <v>0</v>
      </c>
      <c r="G21" s="7">
        <f>('Price Data'!G21*(1+'Stock Dividend'!G21+'Right Share Ratio'!G21)*Split!G21-'Price Data'!G20-'Right Share Ratio'!G21*'Right Share Offer Price'!G21*Split!G21)/'Price Data'!G20</f>
        <v>-0.11724137931034485</v>
      </c>
      <c r="H21" s="7">
        <f>('Price Data'!H21*(1+'Stock Dividend'!H21+'Right Share Ratio'!H21)*Split!H21-'Price Data'!H20-'Right Share Ratio'!H21*'Right Share Offer Price'!H21*Split!H21)/'Price Data'!H20</f>
        <v>-8.3507306889352817E-2</v>
      </c>
      <c r="I21" s="7">
        <f>('Price Data'!I21*(1+'Stock Dividend'!I21+'Right Share Ratio'!I21)*Split!I21-'Price Data'!I20-'Right Share Ratio'!I21*'Right Share Offer Price'!I21*Split!I21)/'Price Data'!I20</f>
        <v>0</v>
      </c>
      <c r="J21" s="7">
        <f>('Price Data'!J21*(1+'Stock Dividend'!J21+'Right Share Ratio'!J21)*Split!J21-'Price Data'!J20-'Right Share Ratio'!J21*'Right Share Offer Price'!J21*Split!J21)/'Price Data'!J20</f>
        <v>6.5857885615251244E-2</v>
      </c>
      <c r="K21" s="7">
        <f>('Price Data'!K21*(1+'Stock Dividend'!K21+'Right Share Ratio'!K21)*Split!K21-'Price Data'!K20-'Right Share Ratio'!K21*'Right Share Offer Price'!K21*Split!K21)/'Price Data'!K20</f>
        <v>7.7536231884057893E-2</v>
      </c>
      <c r="L21" s="7">
        <f>('Price Data'!L21*(1+'Stock Dividend'!L21+'Right Share Ratio'!L21)*Split!L21-'Price Data'!L20-'Right Share Ratio'!L21*'Right Share Offer Price'!L21*Split!L21)/'Price Data'!L20</f>
        <v>0</v>
      </c>
      <c r="M21" s="7">
        <f>('Price Data'!M21*(1+'Stock Dividend'!M21+'Right Share Ratio'!M21)*Split!M21-'Price Data'!M20-'Right Share Ratio'!M21*'Right Share Offer Price'!M21*Split!M21)/'Price Data'!M20</f>
        <v>0.14719530102790016</v>
      </c>
      <c r="N21" s="7">
        <f>('Price Data'!N21*(1+'Stock Dividend'!N21+'Right Share Ratio'!N21)*Split!N21-'Price Data'!N20-'Right Share Ratio'!N21*'Right Share Offer Price'!N21*Split!N21)/'Price Data'!N20</f>
        <v>0</v>
      </c>
      <c r="O21" s="7">
        <f>('Price Data'!O21*(1+'Stock Dividend'!O21+'Right Share Ratio'!O21)*Split!O21-'Price Data'!O20-'Right Share Ratio'!O21*'Right Share Offer Price'!O21*Split!O21)/'Price Data'!O20</f>
        <v>0</v>
      </c>
      <c r="P21" s="7">
        <f>('Price Data'!P21*(1+'Stock Dividend'!P21+'Right Share Ratio'!P21)*Split!P21-'Price Data'!P20-'Right Share Ratio'!P21*'Right Share Offer Price'!P21*Split!P21)/'Price Data'!P20</f>
        <v>0</v>
      </c>
      <c r="Q21" s="7">
        <f>('Price Data'!Q21*(1+'Stock Dividend'!Q21+'Right Share Ratio'!Q21)*Split!Q21-'Price Data'!Q20-'Right Share Ratio'!Q21*'Right Share Offer Price'!Q21*Split!Q21)/'Price Data'!Q20</f>
        <v>0</v>
      </c>
      <c r="R21" s="7">
        <f>('Price Data'!R21*(1+'Stock Dividend'!R21+'Right Share Ratio'!R21)*Split!R21-'Price Data'!R20-'Right Share Ratio'!R21*'Right Share Offer Price'!R21*Split!R21)/'Price Data'!R20</f>
        <v>0</v>
      </c>
      <c r="S21" s="7">
        <f>('Price Data'!S21*(1+'Stock Dividend'!S21+'Right Share Ratio'!S21)*Split!S21-'Price Data'!S20-'Right Share Ratio'!S21*'Right Share Offer Price'!S21*Split!S21)/'Price Data'!S20</f>
        <v>0</v>
      </c>
      <c r="T21" s="7">
        <f>('Price Data'!T21*(1+'Stock Dividend'!T21+'Right Share Ratio'!T21)*Split!T21-'Price Data'!T20-'Right Share Ratio'!T21*'Right Share Offer Price'!T21*Split!T21)/'Price Data'!T20</f>
        <v>0</v>
      </c>
      <c r="U21" s="7">
        <f>('Price Data'!U21*(1+'Stock Dividend'!U21+'Right Share Ratio'!U21)*Split!U21-'Price Data'!U20-'Right Share Ratio'!U21*'Right Share Offer Price'!U21*Split!U21)/'Price Data'!U20</f>
        <v>0.13652173913043469</v>
      </c>
      <c r="V21" s="7">
        <f>('Price Data'!V21*(1+'Stock Dividend'!V21+'Right Share Ratio'!V21)*Split!V21-'Price Data'!V20-'Right Share Ratio'!V21*'Right Share Offer Price'!V21*Split!V21)/'Price Data'!V20</f>
        <v>0</v>
      </c>
    </row>
    <row r="22" spans="1:22">
      <c r="A22" s="167"/>
      <c r="B22" s="16" t="s">
        <v>20</v>
      </c>
      <c r="C22" s="7">
        <f>('Price Data'!C22*(1+'Stock Dividend'!C22+'Right Share Ratio'!C22)*Split!C22-'Price Data'!C21-'Right Share Ratio'!C22*'Right Share Offer Price'!C22*Split!C22)/'Price Data'!C21</f>
        <v>0</v>
      </c>
      <c r="D22" s="7">
        <f>('Price Data'!D22*(1+'Stock Dividend'!D22+'Right Share Ratio'!D22)*Split!D22-'Price Data'!D21-'Right Share Ratio'!D22*'Right Share Offer Price'!D22*Split!D22)/'Price Data'!D21</f>
        <v>0</v>
      </c>
      <c r="E22" s="7">
        <f>('Price Data'!E22*(1+'Stock Dividend'!E22+'Right Share Ratio'!E22)*Split!E22-'Price Data'!E21-'Right Share Ratio'!E22*'Right Share Offer Price'!E22*Split!E22)/'Price Data'!E21</f>
        <v>0</v>
      </c>
      <c r="F22" s="7">
        <f>('Price Data'!F22*(1+'Stock Dividend'!F22+'Right Share Ratio'!F22)*Split!F22-'Price Data'!F21-'Right Share Ratio'!F22*'Right Share Offer Price'!F22*Split!F22)/'Price Data'!F21</f>
        <v>0</v>
      </c>
      <c r="G22" s="7">
        <f>('Price Data'!G22*(1+'Stock Dividend'!G22+'Right Share Ratio'!G22)*Split!G22-'Price Data'!G21-'Right Share Ratio'!G22*'Right Share Offer Price'!G22*Split!G22)/'Price Data'!G21</f>
        <v>0</v>
      </c>
      <c r="H22" s="7">
        <f>('Price Data'!H22*(1+'Stock Dividend'!H22+'Right Share Ratio'!H22)*Split!H22-'Price Data'!H21-'Right Share Ratio'!H22*'Right Share Offer Price'!H22*Split!H22)/'Price Data'!H21</f>
        <v>-6.8337129840546048E-3</v>
      </c>
      <c r="I22" s="7">
        <f>('Price Data'!I22*(1+'Stock Dividend'!I22+'Right Share Ratio'!I22)*Split!I22-'Price Data'!I21-'Right Share Ratio'!I22*'Right Share Offer Price'!I22*Split!I22)/'Price Data'!I21</f>
        <v>0</v>
      </c>
      <c r="J22" s="7">
        <f>('Price Data'!J22*(1+'Stock Dividend'!J22+'Right Share Ratio'!J22)*Split!J22-'Price Data'!J21-'Right Share Ratio'!J22*'Right Share Offer Price'!J22*Split!J22)/'Price Data'!J21</f>
        <v>0.17398373983739843</v>
      </c>
      <c r="K22" s="7">
        <f>('Price Data'!K22*(1+'Stock Dividend'!K22+'Right Share Ratio'!K22)*Split!K22-'Price Data'!K21-'Right Share Ratio'!K22*'Right Share Offer Price'!K22*Split!K22)/'Price Data'!K21</f>
        <v>4.505716207128458E-2</v>
      </c>
      <c r="L22" s="7">
        <f>('Price Data'!L22*(1+'Stock Dividend'!L22+'Right Share Ratio'!L22)*Split!L22-'Price Data'!L21-'Right Share Ratio'!L22*'Right Share Offer Price'!L22*Split!L22)/'Price Data'!L21</f>
        <v>0</v>
      </c>
      <c r="M22" s="7">
        <f>('Price Data'!M22*(1+'Stock Dividend'!M22+'Right Share Ratio'!M22)*Split!M22-'Price Data'!M21-'Right Share Ratio'!M22*'Right Share Offer Price'!M22*Split!M22)/'Price Data'!M21</f>
        <v>1.4848190056832756E-2</v>
      </c>
      <c r="N22" s="7">
        <f>('Price Data'!N22*(1+'Stock Dividend'!N22+'Right Share Ratio'!N22)*Split!N22-'Price Data'!N21-'Right Share Ratio'!N22*'Right Share Offer Price'!N22*Split!N22)/'Price Data'!N21</f>
        <v>0</v>
      </c>
      <c r="O22" s="7">
        <f>('Price Data'!O22*(1+'Stock Dividend'!O22+'Right Share Ratio'!O22)*Split!O22-'Price Data'!O21-'Right Share Ratio'!O22*'Right Share Offer Price'!O22*Split!O22)/'Price Data'!O21</f>
        <v>0</v>
      </c>
      <c r="P22" s="7">
        <f>('Price Data'!P22*(1+'Stock Dividend'!P22+'Right Share Ratio'!P22)*Split!P22-'Price Data'!P21-'Right Share Ratio'!P22*'Right Share Offer Price'!P22*Split!P22)/'Price Data'!P21</f>
        <v>0</v>
      </c>
      <c r="Q22" s="7">
        <f>('Price Data'!Q22*(1+'Stock Dividend'!Q22+'Right Share Ratio'!Q22)*Split!Q22-'Price Data'!Q21-'Right Share Ratio'!Q22*'Right Share Offer Price'!Q22*Split!Q22)/'Price Data'!Q21</f>
        <v>0</v>
      </c>
      <c r="R22" s="7">
        <f>('Price Data'!R22*(1+'Stock Dividend'!R22+'Right Share Ratio'!R22)*Split!R22-'Price Data'!R21-'Right Share Ratio'!R22*'Right Share Offer Price'!R22*Split!R22)/'Price Data'!R21</f>
        <v>0</v>
      </c>
      <c r="S22" s="7">
        <f>('Price Data'!S22*(1+'Stock Dividend'!S22+'Right Share Ratio'!S22)*Split!S22-'Price Data'!S21-'Right Share Ratio'!S22*'Right Share Offer Price'!S22*Split!S22)/'Price Data'!S21</f>
        <v>0</v>
      </c>
      <c r="T22" s="7">
        <f>('Price Data'!T22*(1+'Stock Dividend'!T22+'Right Share Ratio'!T22)*Split!T22-'Price Data'!T21-'Right Share Ratio'!T22*'Right Share Offer Price'!T22*Split!T22)/'Price Data'!T21</f>
        <v>0</v>
      </c>
      <c r="U22" s="7">
        <f>('Price Data'!U22*(1+'Stock Dividend'!U22+'Right Share Ratio'!U22)*Split!U22-'Price Data'!U21-'Right Share Ratio'!U22*'Right Share Offer Price'!U22*Split!U22)/'Price Data'!U21</f>
        <v>0.25172149961744461</v>
      </c>
      <c r="V22" s="7">
        <f>('Price Data'!V22*(1+'Stock Dividend'!V22+'Right Share Ratio'!V22)*Split!V22-'Price Data'!V21-'Right Share Ratio'!V22*'Right Share Offer Price'!V22*Split!V22)/'Price Data'!V21</f>
        <v>0.05</v>
      </c>
    </row>
    <row r="23" spans="1:22">
      <c r="A23" s="167"/>
      <c r="B23" s="16" t="s">
        <v>21</v>
      </c>
      <c r="C23" s="7">
        <f>('Price Data'!C23*(1+'Stock Dividend'!C23+'Right Share Ratio'!C23)*Split!C23-'Price Data'!C22-'Right Share Ratio'!C23*'Right Share Offer Price'!C23*Split!C23)/'Price Data'!C22</f>
        <v>0</v>
      </c>
      <c r="D23" s="7">
        <f>('Price Data'!D23*(1+'Stock Dividend'!D23+'Right Share Ratio'!D23)*Split!D23-'Price Data'!D22-'Right Share Ratio'!D23*'Right Share Offer Price'!D23*Split!D23)/'Price Data'!D22</f>
        <v>0</v>
      </c>
      <c r="E23" s="7">
        <f>('Price Data'!E23*(1+'Stock Dividend'!E23+'Right Share Ratio'!E23)*Split!E23-'Price Data'!E22-'Right Share Ratio'!E23*'Right Share Offer Price'!E23*Split!E23)/'Price Data'!E22</f>
        <v>0</v>
      </c>
      <c r="F23" s="7">
        <f>('Price Data'!F23*(1+'Stock Dividend'!F23+'Right Share Ratio'!F23)*Split!F23-'Price Data'!F22-'Right Share Ratio'!F23*'Right Share Offer Price'!F23*Split!F23)/'Price Data'!F22</f>
        <v>5.8823529411775131E-4</v>
      </c>
      <c r="G23" s="7">
        <f>('Price Data'!G23*(1+'Stock Dividend'!G23+'Right Share Ratio'!G23)*Split!G23-'Price Data'!G22-'Right Share Ratio'!G23*'Right Share Offer Price'!G23*Split!G23)/'Price Data'!G22</f>
        <v>0</v>
      </c>
      <c r="H23" s="7">
        <f>('Price Data'!H23*(1+'Stock Dividend'!H23+'Right Share Ratio'!H23)*Split!H23-'Price Data'!H22-'Right Share Ratio'!H23*'Right Share Offer Price'!H23*Split!H23)/'Price Data'!H22</f>
        <v>2.7522935779816415E-2</v>
      </c>
      <c r="I23" s="7">
        <f>('Price Data'!I23*(1+'Stock Dividend'!I23+'Right Share Ratio'!I23)*Split!I23-'Price Data'!I22-'Right Share Ratio'!I23*'Right Share Offer Price'!I23*Split!I23)/'Price Data'!I22</f>
        <v>0</v>
      </c>
      <c r="J23" s="7">
        <f>('Price Data'!J23*(1+'Stock Dividend'!J23+'Right Share Ratio'!J23)*Split!J23-'Price Data'!J22-'Right Share Ratio'!J23*'Right Share Offer Price'!J23*Split!J23)/'Price Data'!J22</f>
        <v>-1.1080332409972259E-2</v>
      </c>
      <c r="K23" s="7">
        <f>('Price Data'!K23*(1+'Stock Dividend'!K23+'Right Share Ratio'!K23)*Split!K23-'Price Data'!K22-'Right Share Ratio'!K23*'Right Share Offer Price'!K23*Split!K23)/'Price Data'!K22</f>
        <v>6.7567567567567571E-2</v>
      </c>
      <c r="L23" s="7">
        <f>('Price Data'!L23*(1+'Stock Dividend'!L23+'Right Share Ratio'!L23)*Split!L23-'Price Data'!L22-'Right Share Ratio'!L23*'Right Share Offer Price'!L23*Split!L23)/'Price Data'!L22</f>
        <v>0</v>
      </c>
      <c r="M23" s="7">
        <f>('Price Data'!M23*(1+'Stock Dividend'!M23+'Right Share Ratio'!M23)*Split!M23-'Price Data'!M22-'Right Share Ratio'!M23*'Right Share Offer Price'!M23*Split!M23)/'Price Data'!M22</f>
        <v>0.12678472327329599</v>
      </c>
      <c r="N23" s="7">
        <f>('Price Data'!N23*(1+'Stock Dividend'!N23+'Right Share Ratio'!N23)*Split!N23-'Price Data'!N22-'Right Share Ratio'!N23*'Right Share Offer Price'!N23*Split!N23)/'Price Data'!N22</f>
        <v>0</v>
      </c>
      <c r="O23" s="7">
        <f>('Price Data'!O23*(1+'Stock Dividend'!O23+'Right Share Ratio'!O23)*Split!O23-'Price Data'!O22-'Right Share Ratio'!O23*'Right Share Offer Price'!O23*Split!O23)/'Price Data'!O22</f>
        <v>0</v>
      </c>
      <c r="P23" s="7">
        <f>('Price Data'!P23*(1+'Stock Dividend'!P23+'Right Share Ratio'!P23)*Split!P23-'Price Data'!P22-'Right Share Ratio'!P23*'Right Share Offer Price'!P23*Split!P23)/'Price Data'!P22</f>
        <v>0</v>
      </c>
      <c r="Q23" s="7">
        <f>('Price Data'!Q23*(1+'Stock Dividend'!Q23+'Right Share Ratio'!Q23)*Split!Q23-'Price Data'!Q22-'Right Share Ratio'!Q23*'Right Share Offer Price'!Q23*Split!Q23)/'Price Data'!Q22</f>
        <v>0</v>
      </c>
      <c r="R23" s="7">
        <f>('Price Data'!R23*(1+'Stock Dividend'!R23+'Right Share Ratio'!R23)*Split!R23-'Price Data'!R22-'Right Share Ratio'!R23*'Right Share Offer Price'!R23*Split!R23)/'Price Data'!R22</f>
        <v>0</v>
      </c>
      <c r="S23" s="7">
        <f>('Price Data'!S23*(1+'Stock Dividend'!S23+'Right Share Ratio'!S23)*Split!S23-'Price Data'!S22-'Right Share Ratio'!S23*'Right Share Offer Price'!S23*Split!S23)/'Price Data'!S22</f>
        <v>3.6129140672589784E-3</v>
      </c>
      <c r="T23" s="7">
        <f>('Price Data'!T23*(1+'Stock Dividend'!T23+'Right Share Ratio'!T23)*Split!T23-'Price Data'!T22-'Right Share Ratio'!T23*'Right Share Offer Price'!T23*Split!T23)/'Price Data'!T22</f>
        <v>0</v>
      </c>
      <c r="U23" s="7">
        <f>('Price Data'!U23*(1+'Stock Dividend'!U23+'Right Share Ratio'!U23)*Split!U23-'Price Data'!U22-'Right Share Ratio'!U23*'Right Share Offer Price'!U23*Split!U23)/'Price Data'!U22</f>
        <v>-0.19621026894865523</v>
      </c>
      <c r="V23" s="7">
        <f>('Price Data'!V23*(1+'Stock Dividend'!V23+'Right Share Ratio'!V23)*Split!V23-'Price Data'!V22-'Right Share Ratio'!V23*'Right Share Offer Price'!V23*Split!V23)/'Price Data'!V22</f>
        <v>2.4649859943977621E-2</v>
      </c>
    </row>
    <row r="24" spans="1:22">
      <c r="A24" s="167"/>
      <c r="B24" s="16" t="s">
        <v>22</v>
      </c>
      <c r="C24" s="7">
        <f>('Price Data'!C24*(1+'Stock Dividend'!C24+'Right Share Ratio'!C24)*Split!C24-'Price Data'!C23-'Right Share Ratio'!C24*'Right Share Offer Price'!C24*Split!C24)/'Price Data'!C23</f>
        <v>-1.1090573012939422E-4</v>
      </c>
      <c r="D24" s="7">
        <f>('Price Data'!D24*(1+'Stock Dividend'!D24+'Right Share Ratio'!D24)*Split!D24-'Price Data'!D23-'Right Share Ratio'!D24*'Right Share Offer Price'!D24*Split!D24)/'Price Data'!D23</f>
        <v>0</v>
      </c>
      <c r="E24" s="7">
        <f>('Price Data'!E24*(1+'Stock Dividend'!E24+'Right Share Ratio'!E24)*Split!E24-'Price Data'!E23-'Right Share Ratio'!E24*'Right Share Offer Price'!E24*Split!E24)/'Price Data'!E23</f>
        <v>0</v>
      </c>
      <c r="F24" s="7">
        <f>('Price Data'!F24*(1+'Stock Dividend'!F24+'Right Share Ratio'!F24)*Split!F24-'Price Data'!F23-'Right Share Ratio'!F24*'Right Share Offer Price'!F24*Split!F24)/'Price Data'!F23</f>
        <v>0</v>
      </c>
      <c r="G24" s="7">
        <f>('Price Data'!G24*(1+'Stock Dividend'!G24+'Right Share Ratio'!G24)*Split!G24-'Price Data'!G23-'Right Share Ratio'!G24*'Right Share Offer Price'!G24*Split!G24)/'Price Data'!G23</f>
        <v>0.5078125</v>
      </c>
      <c r="H24" s="7">
        <f>('Price Data'!H24*(1+'Stock Dividend'!H24+'Right Share Ratio'!H24)*Split!H24-'Price Data'!H23-'Right Share Ratio'!H24*'Right Share Offer Price'!H24*Split!H24)/'Price Data'!H23</f>
        <v>0.22544642857142863</v>
      </c>
      <c r="I24" s="7">
        <f>('Price Data'!I24*(1+'Stock Dividend'!I24+'Right Share Ratio'!I24)*Split!I24-'Price Data'!I23-'Right Share Ratio'!I24*'Right Share Offer Price'!I24*Split!I24)/'Price Data'!I23</f>
        <v>0</v>
      </c>
      <c r="J24" s="7">
        <f>('Price Data'!J24*(1+'Stock Dividend'!J24+'Right Share Ratio'!J24)*Split!J24-'Price Data'!J23-'Right Share Ratio'!J24*'Right Share Offer Price'!J24*Split!J24)/'Price Data'!J23</f>
        <v>0.29971988795518195</v>
      </c>
      <c r="K24" s="7">
        <f>('Price Data'!K24*(1+'Stock Dividend'!K24+'Right Share Ratio'!K24)*Split!K24-'Price Data'!K23-'Right Share Ratio'!K24*'Right Share Offer Price'!K24*Split!K24)/'Price Data'!K23</f>
        <v>-6.3893911995177785E-2</v>
      </c>
      <c r="L24" s="7">
        <f>('Price Data'!L24*(1+'Stock Dividend'!L24+'Right Share Ratio'!L24)*Split!L24-'Price Data'!L23-'Right Share Ratio'!L24*'Right Share Offer Price'!L24*Split!L24)/'Price Data'!L23</f>
        <v>0</v>
      </c>
      <c r="M24" s="7">
        <f>('Price Data'!M24*(1+'Stock Dividend'!M24+'Right Share Ratio'!M24)*Split!M24-'Price Data'!M23-'Right Share Ratio'!M24*'Right Share Offer Price'!M24*Split!M24)/'Price Data'!M23</f>
        <v>-6.156532640816692E-2</v>
      </c>
      <c r="N24" s="7">
        <f>('Price Data'!N24*(1+'Stock Dividend'!N24+'Right Share Ratio'!N24)*Split!N24-'Price Data'!N23-'Right Share Ratio'!N24*'Right Share Offer Price'!N24*Split!N24)/'Price Data'!N23</f>
        <v>0</v>
      </c>
      <c r="O24" s="7">
        <f>('Price Data'!O24*(1+'Stock Dividend'!O24+'Right Share Ratio'!O24)*Split!O24-'Price Data'!O23-'Right Share Ratio'!O24*'Right Share Offer Price'!O24*Split!O24)/'Price Data'!O23</f>
        <v>0</v>
      </c>
      <c r="P24" s="7">
        <f>('Price Data'!P24*(1+'Stock Dividend'!P24+'Right Share Ratio'!P24)*Split!P24-'Price Data'!P23-'Right Share Ratio'!P24*'Right Share Offer Price'!P24*Split!P24)/'Price Data'!P23</f>
        <v>0</v>
      </c>
      <c r="Q24" s="7">
        <f>('Price Data'!Q24*(1+'Stock Dividend'!Q24+'Right Share Ratio'!Q24)*Split!Q24-'Price Data'!Q23-'Right Share Ratio'!Q24*'Right Share Offer Price'!Q24*Split!Q24)/'Price Data'!Q23</f>
        <v>0</v>
      </c>
      <c r="R24" s="7">
        <f>('Price Data'!R24*(1+'Stock Dividend'!R24+'Right Share Ratio'!R24)*Split!R24-'Price Data'!R23-'Right Share Ratio'!R24*'Right Share Offer Price'!R24*Split!R24)/'Price Data'!R23</f>
        <v>0</v>
      </c>
      <c r="S24" s="7">
        <f>('Price Data'!S24*(1+'Stock Dividend'!S24+'Right Share Ratio'!S24)*Split!S24-'Price Data'!S23-'Right Share Ratio'!S24*'Right Share Offer Price'!S24*Split!S24)/'Price Data'!S23</f>
        <v>-1.1929927373950518E-3</v>
      </c>
      <c r="T24" s="7">
        <f>('Price Data'!T24*(1+'Stock Dividend'!T24+'Right Share Ratio'!T24)*Split!T24-'Price Data'!T23-'Right Share Ratio'!T24*'Right Share Offer Price'!T24*Split!T24)/'Price Data'!T23</f>
        <v>0</v>
      </c>
      <c r="U24" s="7">
        <f>('Price Data'!U24*(1+'Stock Dividend'!U24+'Right Share Ratio'!U24)*Split!U24-'Price Data'!U23-'Right Share Ratio'!U24*'Right Share Offer Price'!U24*Split!U24)/'Price Data'!U23</f>
        <v>1.6730038022813601E-2</v>
      </c>
      <c r="V24" s="7">
        <f>('Price Data'!V24*(1+'Stock Dividend'!V24+'Right Share Ratio'!V24)*Split!V24-'Price Data'!V23-'Right Share Ratio'!V24*'Right Share Offer Price'!V24*Split!V24)/'Price Data'!V23</f>
        <v>-1.0934937124111536E-2</v>
      </c>
    </row>
    <row r="25" spans="1:22">
      <c r="A25" s="167"/>
      <c r="B25" s="16" t="s">
        <v>23</v>
      </c>
      <c r="C25" s="7">
        <f>('Price Data'!C25*(1+'Stock Dividend'!C25+'Right Share Ratio'!C25)*Split!C25-'Price Data'!C24-'Right Share Ratio'!C25*'Right Share Offer Price'!C25*Split!C25)/'Price Data'!C24</f>
        <v>0</v>
      </c>
      <c r="D25" s="7">
        <f>('Price Data'!D25*(1+'Stock Dividend'!D25+'Right Share Ratio'!D25)*Split!D25-'Price Data'!D24-'Right Share Ratio'!D25*'Right Share Offer Price'!D25*Split!D25)/'Price Data'!D24</f>
        <v>-3.2608695652173859E-3</v>
      </c>
      <c r="E25" s="7">
        <f>('Price Data'!E25*(1+'Stock Dividend'!E25+'Right Share Ratio'!E25)*Split!E25-'Price Data'!E24-'Right Share Ratio'!E25*'Right Share Offer Price'!E25*Split!E25)/'Price Data'!E24</f>
        <v>0</v>
      </c>
      <c r="F25" s="7">
        <f>('Price Data'!F25*(1+'Stock Dividend'!F25+'Right Share Ratio'!F25)*Split!F25-'Price Data'!F24-'Right Share Ratio'!F25*'Right Share Offer Price'!F25*Split!F25)/'Price Data'!F24</f>
        <v>0</v>
      </c>
      <c r="G25" s="7">
        <f>('Price Data'!G25*(1+'Stock Dividend'!G25+'Right Share Ratio'!G25)*Split!G25-'Price Data'!G24-'Right Share Ratio'!G25*'Right Share Offer Price'!G25*Split!G25)/'Price Data'!G24</f>
        <v>-0.16580310880829019</v>
      </c>
      <c r="H25" s="7">
        <f>('Price Data'!H25*(1+'Stock Dividend'!H25+'Right Share Ratio'!H25)*Split!H25-'Price Data'!H24-'Right Share Ratio'!H25*'Right Share Offer Price'!H25*Split!H25)/'Price Data'!H24</f>
        <v>-0.11111111111111115</v>
      </c>
      <c r="I25" s="7">
        <f>('Price Data'!I25*(1+'Stock Dividend'!I25+'Right Share Ratio'!I25)*Split!I25-'Price Data'!I24-'Right Share Ratio'!I25*'Right Share Offer Price'!I25*Split!I25)/'Price Data'!I24</f>
        <v>0</v>
      </c>
      <c r="J25" s="7">
        <f>('Price Data'!J25*(1+'Stock Dividend'!J25+'Right Share Ratio'!J25)*Split!J25-'Price Data'!J24-'Right Share Ratio'!J25*'Right Share Offer Price'!J25*Split!J25)/'Price Data'!J24</f>
        <v>0.26831896551724144</v>
      </c>
      <c r="K25" s="7">
        <f>('Price Data'!K25*(1+'Stock Dividend'!K25+'Right Share Ratio'!K25)*Split!K25-'Price Data'!K24-'Right Share Ratio'!K25*'Right Share Offer Price'!K25*Split!K25)/'Price Data'!K24</f>
        <v>-1.0946555054732885E-2</v>
      </c>
      <c r="L25" s="7">
        <f>('Price Data'!L25*(1+'Stock Dividend'!L25+'Right Share Ratio'!L25)*Split!L25-'Price Data'!L24-'Right Share Ratio'!L25*'Right Share Offer Price'!L25*Split!L25)/'Price Data'!L24</f>
        <v>0</v>
      </c>
      <c r="M25" s="7">
        <f>('Price Data'!M25*(1+'Stock Dividend'!M25+'Right Share Ratio'!M25)*Split!M25-'Price Data'!M24-'Right Share Ratio'!M25*'Right Share Offer Price'!M25*Split!M25)/'Price Data'!M24</f>
        <v>-8.2064984016412944E-3</v>
      </c>
      <c r="N25" s="7">
        <f>('Price Data'!N25*(1+'Stock Dividend'!N25+'Right Share Ratio'!N25)*Split!N25-'Price Data'!N24-'Right Share Ratio'!N25*'Right Share Offer Price'!N25*Split!N25)/'Price Data'!N24</f>
        <v>0</v>
      </c>
      <c r="O25" s="7">
        <f>('Price Data'!O25*(1+'Stock Dividend'!O25+'Right Share Ratio'!O25)*Split!O25-'Price Data'!O24-'Right Share Ratio'!O25*'Right Share Offer Price'!O25*Split!O25)/'Price Data'!O24</f>
        <v>0</v>
      </c>
      <c r="P25" s="7">
        <f>('Price Data'!P25*(1+'Stock Dividend'!P25+'Right Share Ratio'!P25)*Split!P25-'Price Data'!P24-'Right Share Ratio'!P25*'Right Share Offer Price'!P25*Split!P25)/'Price Data'!P24</f>
        <v>0</v>
      </c>
      <c r="Q25" s="7">
        <f>('Price Data'!Q25*(1+'Stock Dividend'!Q25+'Right Share Ratio'!Q25)*Split!Q25-'Price Data'!Q24-'Right Share Ratio'!Q25*'Right Share Offer Price'!Q25*Split!Q25)/'Price Data'!Q24</f>
        <v>0</v>
      </c>
      <c r="R25" s="7">
        <f>('Price Data'!R25*(1+'Stock Dividend'!R25+'Right Share Ratio'!R25)*Split!R25-'Price Data'!R24-'Right Share Ratio'!R25*'Right Share Offer Price'!R25*Split!R25)/'Price Data'!R24</f>
        <v>0</v>
      </c>
      <c r="S25" s="7">
        <f>('Price Data'!S25*(1+'Stock Dividend'!S25+'Right Share Ratio'!S25)*Split!S25-'Price Data'!S24-'Right Share Ratio'!S25*'Right Share Offer Price'!S25*Split!S25)/'Price Data'!S24</f>
        <v>2.1269016386572231E-2</v>
      </c>
      <c r="T25" s="7">
        <f>('Price Data'!T25*(1+'Stock Dividend'!T25+'Right Share Ratio'!T25)*Split!T25-'Price Data'!T24-'Right Share Ratio'!T25*'Right Share Offer Price'!T25*Split!T25)/'Price Data'!T24</f>
        <v>0</v>
      </c>
      <c r="U25" s="7">
        <f>('Price Data'!U25*(1+'Stock Dividend'!U25+'Right Share Ratio'!U25)*Split!U25-'Price Data'!U24-'Right Share Ratio'!U25*'Right Share Offer Price'!U25*Split!U25)/'Price Data'!U24</f>
        <v>-1.4958863126402395E-2</v>
      </c>
      <c r="V25" s="7">
        <f>('Price Data'!V25*(1+'Stock Dividend'!V25+'Right Share Ratio'!V25)*Split!V25-'Price Data'!V24-'Right Share Ratio'!V25*'Right Share Offer Price'!V25*Split!V25)/'Price Data'!V24</f>
        <v>-5.5279159756771697E-3</v>
      </c>
    </row>
    <row r="26" spans="1:22">
      <c r="A26" s="167"/>
      <c r="B26" s="16" t="s">
        <v>24</v>
      </c>
      <c r="C26" s="7">
        <f>('Price Data'!C26*(1+'Stock Dividend'!C26+'Right Share Ratio'!C26)*Split!C26-'Price Data'!C25-'Right Share Ratio'!C26*'Right Share Offer Price'!C26*Split!C26)/'Price Data'!C25</f>
        <v>0</v>
      </c>
      <c r="D26" s="7">
        <f>('Price Data'!D26*(1+'Stock Dividend'!D26+'Right Share Ratio'!D26)*Split!D26-'Price Data'!D25-'Right Share Ratio'!D26*'Right Share Offer Price'!D26*Split!D26)/'Price Data'!D25</f>
        <v>0</v>
      </c>
      <c r="E26" s="7">
        <f>('Price Data'!E26*(1+'Stock Dividend'!E26+'Right Share Ratio'!E26)*Split!E26-'Price Data'!E25-'Right Share Ratio'!E26*'Right Share Offer Price'!E26*Split!E26)/'Price Data'!E25</f>
        <v>0</v>
      </c>
      <c r="F26" s="7">
        <f>('Price Data'!F26*(1+'Stock Dividend'!F26+'Right Share Ratio'!F26)*Split!F26-'Price Data'!F25-'Right Share Ratio'!F26*'Right Share Offer Price'!F26*Split!F26)/'Price Data'!F25</f>
        <v>0</v>
      </c>
      <c r="G26" s="7">
        <f>('Price Data'!G26*(1+'Stock Dividend'!G26+'Right Share Ratio'!G26)*Split!G26-'Price Data'!G25-'Right Share Ratio'!G26*'Right Share Offer Price'!G26*Split!G26)/'Price Data'!G25</f>
        <v>-8.2815734989648032E-2</v>
      </c>
      <c r="H26" s="7">
        <f>('Price Data'!H26*(1+'Stock Dividend'!H26+'Right Share Ratio'!H26)*Split!H26-'Price Data'!H25-'Right Share Ratio'!H26*'Right Share Offer Price'!H26*Split!H26)/'Price Data'!H25</f>
        <v>0.26844262295081972</v>
      </c>
      <c r="I26" s="7">
        <f>('Price Data'!I26*(1+'Stock Dividend'!I26+'Right Share Ratio'!I26)*Split!I26-'Price Data'!I25-'Right Share Ratio'!I26*'Right Share Offer Price'!I26*Split!I26)/'Price Data'!I25</f>
        <v>0</v>
      </c>
      <c r="J26" s="7">
        <f>('Price Data'!J26*(1+'Stock Dividend'!J26+'Right Share Ratio'!J26)*Split!J26-'Price Data'!J25-'Right Share Ratio'!J26*'Right Share Offer Price'!J26*Split!J26)/'Price Data'!J25</f>
        <v>5.0127442650807062E-2</v>
      </c>
      <c r="K26" s="7">
        <f>('Price Data'!K26*(1+'Stock Dividend'!K26+'Right Share Ratio'!K26)*Split!K26-'Price Data'!K25-'Right Share Ratio'!K26*'Right Share Offer Price'!K26*Split!K26)/'Price Data'!K25</f>
        <v>-5.4687500000000042E-2</v>
      </c>
      <c r="L26" s="7">
        <f>('Price Data'!L26*(1+'Stock Dividend'!L26+'Right Share Ratio'!L26)*Split!L26-'Price Data'!L25-'Right Share Ratio'!L26*'Right Share Offer Price'!L26*Split!L26)/'Price Data'!L25</f>
        <v>0</v>
      </c>
      <c r="M26" s="7">
        <f>('Price Data'!M26*(1+'Stock Dividend'!M26+'Right Share Ratio'!M26)*Split!M26-'Price Data'!M25-'Right Share Ratio'!M26*'Right Share Offer Price'!M26*Split!M26)/'Price Data'!M25</f>
        <v>-7.9520854380141434E-2</v>
      </c>
      <c r="N26" s="7">
        <f>('Price Data'!N26*(1+'Stock Dividend'!N26+'Right Share Ratio'!N26)*Split!N26-'Price Data'!N25-'Right Share Ratio'!N26*'Right Share Offer Price'!N26*Split!N26)/'Price Data'!N25</f>
        <v>0</v>
      </c>
      <c r="O26" s="7">
        <f>('Price Data'!O26*(1+'Stock Dividend'!O26+'Right Share Ratio'!O26)*Split!O26-'Price Data'!O25-'Right Share Ratio'!O26*'Right Share Offer Price'!O26*Split!O26)/'Price Data'!O25</f>
        <v>0</v>
      </c>
      <c r="P26" s="7">
        <f>('Price Data'!P26*(1+'Stock Dividend'!P26+'Right Share Ratio'!P26)*Split!P26-'Price Data'!P25-'Right Share Ratio'!P26*'Right Share Offer Price'!P26*Split!P26)/'Price Data'!P25</f>
        <v>0</v>
      </c>
      <c r="Q26" s="7">
        <f>('Price Data'!Q26*(1+'Stock Dividend'!Q26+'Right Share Ratio'!Q26)*Split!Q26-'Price Data'!Q25-'Right Share Ratio'!Q26*'Right Share Offer Price'!Q26*Split!Q26)/'Price Data'!Q25</f>
        <v>0</v>
      </c>
      <c r="R26" s="7">
        <f>('Price Data'!R26*(1+'Stock Dividend'!R26+'Right Share Ratio'!R26)*Split!R26-'Price Data'!R25-'Right Share Ratio'!R26*'Right Share Offer Price'!R26*Split!R26)/'Price Data'!R25</f>
        <v>0</v>
      </c>
      <c r="S26" s="7">
        <f>('Price Data'!S26*(1+'Stock Dividend'!S26+'Right Share Ratio'!S26)*Split!S26-'Price Data'!S25-'Right Share Ratio'!S26*'Right Share Offer Price'!S26*Split!S26)/'Price Data'!S25</f>
        <v>-1.7173810452017938E-2</v>
      </c>
      <c r="T26" s="7">
        <f>('Price Data'!T26*(1+'Stock Dividend'!T26+'Right Share Ratio'!T26)*Split!T26-'Price Data'!T25-'Right Share Ratio'!T26*'Right Share Offer Price'!T26*Split!T26)/'Price Data'!T25</f>
        <v>0</v>
      </c>
      <c r="U26" s="7">
        <f>('Price Data'!U26*(1+'Stock Dividend'!U26+'Right Share Ratio'!U26)*Split!U26-'Price Data'!U25-'Right Share Ratio'!U26*'Right Share Offer Price'!U26*Split!U26)/'Price Data'!U25</f>
        <v>1.9741837509491444E-2</v>
      </c>
      <c r="V26" s="7">
        <f>('Price Data'!V26*(1+'Stock Dividend'!V26+'Right Share Ratio'!V26)*Split!V26-'Price Data'!V25-'Right Share Ratio'!V26*'Right Share Offer Price'!V26*Split!V26)/'Price Data'!V25</f>
        <v>-1.3340744858254617E-2</v>
      </c>
    </row>
    <row r="27" spans="1:22">
      <c r="A27" s="167"/>
      <c r="B27" s="16" t="s">
        <v>25</v>
      </c>
      <c r="C27" s="7">
        <f>('Price Data'!C27*(1+'Stock Dividend'!C27+'Right Share Ratio'!C27)*Split!C27-'Price Data'!C26-'Right Share Ratio'!C27*'Right Share Offer Price'!C27*Split!C27)/'Price Data'!C26</f>
        <v>0</v>
      </c>
      <c r="D27" s="7">
        <f>('Price Data'!D27*(1+'Stock Dividend'!D27+'Right Share Ratio'!D27)*Split!D27-'Price Data'!D26-'Right Share Ratio'!D27*'Right Share Offer Price'!D27*Split!D27)/'Price Data'!D26</f>
        <v>0</v>
      </c>
      <c r="E27" s="7">
        <f>('Price Data'!E27*(1+'Stock Dividend'!E27+'Right Share Ratio'!E27)*Split!E27-'Price Data'!E26-'Right Share Ratio'!E27*'Right Share Offer Price'!E27*Split!E27)/'Price Data'!E26</f>
        <v>0</v>
      </c>
      <c r="F27" s="7">
        <f>('Price Data'!F27*(1+'Stock Dividend'!F27+'Right Share Ratio'!F27)*Split!F27-'Price Data'!F26-'Right Share Ratio'!F27*'Right Share Offer Price'!F27*Split!F27)/'Price Data'!F26</f>
        <v>0</v>
      </c>
      <c r="G27" s="7">
        <f>('Price Data'!G27*(1+'Stock Dividend'!G27+'Right Share Ratio'!G27)*Split!G27-'Price Data'!G26-'Right Share Ratio'!G27*'Right Share Offer Price'!G27*Split!G27)/'Price Data'!G26</f>
        <v>-6.0948081264108257E-2</v>
      </c>
      <c r="H27" s="7">
        <f>('Price Data'!H27*(1+'Stock Dividend'!H27+'Right Share Ratio'!H27)*Split!H27-'Price Data'!H26-'Right Share Ratio'!H27*'Right Share Offer Price'!H27*Split!H27)/'Price Data'!H26</f>
        <v>-8.2390953150242349E-2</v>
      </c>
      <c r="I27" s="7">
        <f>('Price Data'!I27*(1+'Stock Dividend'!I27+'Right Share Ratio'!I27)*Split!I27-'Price Data'!I26-'Right Share Ratio'!I27*'Right Share Offer Price'!I27*Split!I27)/'Price Data'!I26</f>
        <v>0</v>
      </c>
      <c r="J27" s="7">
        <f>('Price Data'!J27*(1+'Stock Dividend'!J27+'Right Share Ratio'!J27)*Split!J27-'Price Data'!J26-'Right Share Ratio'!J27*'Right Share Offer Price'!J27*Split!J27)/'Price Data'!J26</f>
        <v>-5.6634304207118825E-3</v>
      </c>
      <c r="K27" s="7">
        <f>('Price Data'!K27*(1+'Stock Dividend'!K27+'Right Share Ratio'!K27)*Split!K27-'Price Data'!K26-'Right Share Ratio'!K27*'Right Share Offer Price'!K27*Split!K27)/'Price Data'!K26</f>
        <v>2.0661157024793389E-2</v>
      </c>
      <c r="L27" s="7">
        <f>('Price Data'!L27*(1+'Stock Dividend'!L27+'Right Share Ratio'!L27)*Split!L27-'Price Data'!L26-'Right Share Ratio'!L27*'Right Share Offer Price'!L27*Split!L27)/'Price Data'!L26</f>
        <v>0</v>
      </c>
      <c r="M27" s="7">
        <f>('Price Data'!M27*(1+'Stock Dividend'!M27+'Right Share Ratio'!M27)*Split!M27-'Price Data'!M26-'Right Share Ratio'!M27*'Right Share Offer Price'!M27*Split!M27)/'Price Data'!M26</f>
        <v>-1.6933207902163735E-2</v>
      </c>
      <c r="N27" s="7">
        <f>('Price Data'!N27*(1+'Stock Dividend'!N27+'Right Share Ratio'!N27)*Split!N27-'Price Data'!N26-'Right Share Ratio'!N27*'Right Share Offer Price'!N27*Split!N27)/'Price Data'!N26</f>
        <v>0</v>
      </c>
      <c r="O27" s="7">
        <f>('Price Data'!O27*(1+'Stock Dividend'!O27+'Right Share Ratio'!O27)*Split!O27-'Price Data'!O26-'Right Share Ratio'!O27*'Right Share Offer Price'!O27*Split!O27)/'Price Data'!O26</f>
        <v>0</v>
      </c>
      <c r="P27" s="7">
        <f>('Price Data'!P27*(1+'Stock Dividend'!P27+'Right Share Ratio'!P27)*Split!P27-'Price Data'!P26-'Right Share Ratio'!P27*'Right Share Offer Price'!P27*Split!P27)/'Price Data'!P26</f>
        <v>0</v>
      </c>
      <c r="Q27" s="7">
        <f>('Price Data'!Q27*(1+'Stock Dividend'!Q27+'Right Share Ratio'!Q27)*Split!Q27-'Price Data'!Q26-'Right Share Ratio'!Q27*'Right Share Offer Price'!Q27*Split!Q27)/'Price Data'!Q26</f>
        <v>0</v>
      </c>
      <c r="R27" s="7">
        <f>('Price Data'!R27*(1+'Stock Dividend'!R27+'Right Share Ratio'!R27)*Split!R27-'Price Data'!R26-'Right Share Ratio'!R27*'Right Share Offer Price'!R27*Split!R27)/'Price Data'!R26</f>
        <v>5.7278546355564661E-2</v>
      </c>
      <c r="S27" s="7">
        <f>('Price Data'!S27*(1+'Stock Dividend'!S27+'Right Share Ratio'!S27)*Split!S27-'Price Data'!S26-'Right Share Ratio'!S27*'Right Share Offer Price'!S27*Split!S27)/'Price Data'!S26</f>
        <v>7.1189979123174041E-3</v>
      </c>
      <c r="T27" s="7">
        <f>('Price Data'!T27*(1+'Stock Dividend'!T27+'Right Share Ratio'!T27)*Split!T27-'Price Data'!T26-'Right Share Ratio'!T27*'Right Share Offer Price'!T27*Split!T27)/'Price Data'!T26</f>
        <v>0</v>
      </c>
      <c r="U27" s="7">
        <f>('Price Data'!U27*(1+'Stock Dividend'!U27+'Right Share Ratio'!U27)*Split!U27-'Price Data'!U26-'Right Share Ratio'!U27*'Right Share Offer Price'!U27*Split!U27)/'Price Data'!U26</f>
        <v>-2.3082650781831887E-2</v>
      </c>
      <c r="V27" s="7">
        <f>('Price Data'!V27*(1+'Stock Dividend'!V27+'Right Share Ratio'!V27)*Split!V27-'Price Data'!V26-'Right Share Ratio'!V27*'Right Share Offer Price'!V27*Split!V27)/'Price Data'!V26</f>
        <v>-5.6338028169014088E-3</v>
      </c>
    </row>
    <row r="28" spans="1:22">
      <c r="A28" s="167"/>
      <c r="B28" s="16" t="s">
        <v>26</v>
      </c>
      <c r="C28" s="7">
        <f>('Price Data'!C28*(1+'Stock Dividend'!C28+'Right Share Ratio'!C28)*Split!C28-'Price Data'!C27-'Right Share Ratio'!C28*'Right Share Offer Price'!C28*Split!C28)/'Price Data'!C27</f>
        <v>0</v>
      </c>
      <c r="D28" s="7">
        <f>('Price Data'!D28*(1+'Stock Dividend'!D28+'Right Share Ratio'!D28)*Split!D28-'Price Data'!D27-'Right Share Ratio'!D28*'Right Share Offer Price'!D28*Split!D28)/'Price Data'!D27</f>
        <v>0</v>
      </c>
      <c r="E28" s="7">
        <f>('Price Data'!E28*(1+'Stock Dividend'!E28+'Right Share Ratio'!E28)*Split!E28-'Price Data'!E27-'Right Share Ratio'!E28*'Right Share Offer Price'!E28*Split!E28)/'Price Data'!E27</f>
        <v>0</v>
      </c>
      <c r="F28" s="7">
        <f>('Price Data'!F28*(1+'Stock Dividend'!F28+'Right Share Ratio'!F28)*Split!F28-'Price Data'!F27-'Right Share Ratio'!F28*'Right Share Offer Price'!F28*Split!F28)/'Price Data'!F27</f>
        <v>0</v>
      </c>
      <c r="G28" s="7">
        <f>('Price Data'!G28*(1+'Stock Dividend'!G28+'Right Share Ratio'!G28)*Split!G28-'Price Data'!G27-'Right Share Ratio'!G28*'Right Share Offer Price'!G28*Split!G28)/'Price Data'!G27</f>
        <v>0.7091346153846152</v>
      </c>
      <c r="H28" s="7">
        <f>('Price Data'!H28*(1+'Stock Dividend'!H28+'Right Share Ratio'!H28)*Split!H28-'Price Data'!H27-'Right Share Ratio'!H28*'Right Share Offer Price'!H28*Split!H28)/'Price Data'!H27</f>
        <v>8.0985915492957777E-2</v>
      </c>
      <c r="I28" s="7">
        <f>('Price Data'!I28*(1+'Stock Dividend'!I28+'Right Share Ratio'!I28)*Split!I28-'Price Data'!I27-'Right Share Ratio'!I28*'Right Share Offer Price'!I28*Split!I28)/'Price Data'!I27</f>
        <v>0</v>
      </c>
      <c r="J28" s="7">
        <f>('Price Data'!J28*(1+'Stock Dividend'!J28+'Right Share Ratio'!J28)*Split!J28-'Price Data'!J27-'Right Share Ratio'!J28*'Right Share Offer Price'!J28*Split!J28)/'Price Data'!J27</f>
        <v>-3.9869812855980513E-2</v>
      </c>
      <c r="K28" s="7">
        <f>('Price Data'!K28*(1+'Stock Dividend'!K28+'Right Share Ratio'!K28)*Split!K28-'Price Data'!K27-'Right Share Ratio'!K28*'Right Share Offer Price'!K28*Split!K28)/'Price Data'!K27</f>
        <v>3.3063427800269947E-2</v>
      </c>
      <c r="L28" s="7">
        <f>('Price Data'!L28*(1+'Stock Dividend'!L28+'Right Share Ratio'!L28)*Split!L28-'Price Data'!L27-'Right Share Ratio'!L28*'Right Share Offer Price'!L28*Split!L28)/'Price Data'!L27</f>
        <v>0</v>
      </c>
      <c r="M28" s="7">
        <f>('Price Data'!M28*(1+'Stock Dividend'!M28+'Right Share Ratio'!M28)*Split!M28-'Price Data'!M27-'Right Share Ratio'!M28*'Right Share Offer Price'!M28*Split!M28)/'Price Data'!M27</f>
        <v>8.2243487506645396E-2</v>
      </c>
      <c r="N28" s="7">
        <f>('Price Data'!N28*(1+'Stock Dividend'!N28+'Right Share Ratio'!N28)*Split!N28-'Price Data'!N27-'Right Share Ratio'!N28*'Right Share Offer Price'!N28*Split!N28)/'Price Data'!N27</f>
        <v>0</v>
      </c>
      <c r="O28" s="7">
        <f>('Price Data'!O28*(1+'Stock Dividend'!O28+'Right Share Ratio'!O28)*Split!O28-'Price Data'!O27-'Right Share Ratio'!O28*'Right Share Offer Price'!O28*Split!O28)/'Price Data'!O27</f>
        <v>0</v>
      </c>
      <c r="P28" s="7">
        <f>('Price Data'!P28*(1+'Stock Dividend'!P28+'Right Share Ratio'!P28)*Split!P28-'Price Data'!P27-'Right Share Ratio'!P28*'Right Share Offer Price'!P28*Split!P28)/'Price Data'!P27</f>
        <v>0</v>
      </c>
      <c r="Q28" s="7">
        <f>('Price Data'!Q28*(1+'Stock Dividend'!Q28+'Right Share Ratio'!Q28)*Split!Q28-'Price Data'!Q27-'Right Share Ratio'!Q28*'Right Share Offer Price'!Q28*Split!Q28)/'Price Data'!Q27</f>
        <v>0</v>
      </c>
      <c r="R28" s="7">
        <f>('Price Data'!R28*(1+'Stock Dividend'!R28+'Right Share Ratio'!R28)*Split!R28-'Price Data'!R27-'Right Share Ratio'!R28*'Right Share Offer Price'!R28*Split!R28)/'Price Data'!R27</f>
        <v>-3.4489493008358615E-2</v>
      </c>
      <c r="S28" s="7">
        <f>('Price Data'!S28*(1+'Stock Dividend'!S28+'Right Share Ratio'!S28)*Split!S28-'Price Data'!S27-'Right Share Ratio'!S28*'Right Share Offer Price'!S28*Split!S28)/'Price Data'!S27</f>
        <v>-1.2582657905101619E-2</v>
      </c>
      <c r="T28" s="7">
        <f>('Price Data'!T28*(1+'Stock Dividend'!T28+'Right Share Ratio'!T28)*Split!T28-'Price Data'!T27-'Right Share Ratio'!T28*'Right Share Offer Price'!T28*Split!T28)/'Price Data'!T27</f>
        <v>0</v>
      </c>
      <c r="U28" s="7">
        <f>('Price Data'!U28*(1+'Stock Dividend'!U28+'Right Share Ratio'!U28)*Split!U28-'Price Data'!U27-'Right Share Ratio'!U28*'Right Share Offer Price'!U28*Split!U28)/'Price Data'!U27</f>
        <v>-5.56402439024389E-2</v>
      </c>
      <c r="V28" s="7">
        <f>('Price Data'!V28*(1+'Stock Dividend'!V28+'Right Share Ratio'!V28)*Split!V28-'Price Data'!V27-'Right Share Ratio'!V28*'Right Share Offer Price'!V28*Split!V28)/'Price Data'!V27</f>
        <v>3.3994334277620076E-3</v>
      </c>
    </row>
    <row r="29" spans="1:22">
      <c r="A29" s="167"/>
      <c r="B29" s="16" t="s">
        <v>15</v>
      </c>
      <c r="C29" s="7">
        <f>('Price Data'!C29*(1+'Stock Dividend'!C29+'Right Share Ratio'!C29)*Split!C29-'Price Data'!C28-'Right Share Ratio'!C29*'Right Share Offer Price'!C29*Split!C29)/'Price Data'!C28</f>
        <v>0</v>
      </c>
      <c r="D29" s="7">
        <f>('Price Data'!D29*(1+'Stock Dividend'!D29+'Right Share Ratio'!D29)*Split!D29-'Price Data'!D28-'Right Share Ratio'!D29*'Right Share Offer Price'!D29*Split!D29)/'Price Data'!D28</f>
        <v>0</v>
      </c>
      <c r="E29" s="7">
        <f>('Price Data'!E29*(1+'Stock Dividend'!E29+'Right Share Ratio'!E29)*Split!E29-'Price Data'!E28-'Right Share Ratio'!E29*'Right Share Offer Price'!E29*Split!E29)/'Price Data'!E28</f>
        <v>0</v>
      </c>
      <c r="F29" s="7">
        <f>('Price Data'!F29*(1+'Stock Dividend'!F29+'Right Share Ratio'!F29)*Split!F29-'Price Data'!F28-'Right Share Ratio'!F29*'Right Share Offer Price'!F29*Split!F29)/'Price Data'!F28</f>
        <v>0</v>
      </c>
      <c r="G29" s="7">
        <f>('Price Data'!G29*(1+'Stock Dividend'!G29+'Right Share Ratio'!G29)*Split!G29-'Price Data'!G28-'Right Share Ratio'!G29*'Right Share Offer Price'!G29*Split!G29)/'Price Data'!G28</f>
        <v>-0.1758087201125175</v>
      </c>
      <c r="H29" s="7">
        <f>('Price Data'!H29*(1+'Stock Dividend'!H29+'Right Share Ratio'!H29)*Split!H29-'Price Data'!H28-'Right Share Ratio'!H29*'Right Share Offer Price'!H29*Split!H29)/'Price Data'!H28</f>
        <v>-0.13680781758957652</v>
      </c>
      <c r="I29" s="7">
        <f>('Price Data'!I29*(1+'Stock Dividend'!I29+'Right Share Ratio'!I29)*Split!I29-'Price Data'!I28-'Right Share Ratio'!I29*'Right Share Offer Price'!I29*Split!I29)/'Price Data'!I28</f>
        <v>0</v>
      </c>
      <c r="J29" s="7">
        <f>('Price Data'!J29*(1+'Stock Dividend'!J29+'Right Share Ratio'!J29)*Split!J29-'Price Data'!J28-'Right Share Ratio'!J29*'Right Share Offer Price'!J29*Split!J29)/'Price Data'!J28</f>
        <v>7.711864406779656E-2</v>
      </c>
      <c r="K29" s="7">
        <f>('Price Data'!K29*(1+'Stock Dividend'!K29+'Right Share Ratio'!K29)*Split!K29-'Price Data'!K28-'Right Share Ratio'!K29*'Right Share Offer Price'!K29*Split!K29)/'Price Data'!K28</f>
        <v>-1.3063357282820944E-3</v>
      </c>
      <c r="L29" s="7">
        <f>('Price Data'!L29*(1+'Stock Dividend'!L29+'Right Share Ratio'!L29)*Split!L29-'Price Data'!L28-'Right Share Ratio'!L29*'Right Share Offer Price'!L29*Split!L29)/'Price Data'!L28</f>
        <v>0</v>
      </c>
      <c r="M29" s="7">
        <f>('Price Data'!M29*(1+'Stock Dividend'!M29+'Right Share Ratio'!M29)*Split!M29-'Price Data'!M28-'Right Share Ratio'!M29*'Right Share Offer Price'!M29*Split!M29)/'Price Data'!M28</f>
        <v>3.7102716510291428E-2</v>
      </c>
      <c r="N29" s="7">
        <f>('Price Data'!N29*(1+'Stock Dividend'!N29+'Right Share Ratio'!N29)*Split!N29-'Price Data'!N28-'Right Share Ratio'!N29*'Right Share Offer Price'!N29*Split!N29)/'Price Data'!N28</f>
        <v>0</v>
      </c>
      <c r="O29" s="7">
        <f>('Price Data'!O29*(1+'Stock Dividend'!O29+'Right Share Ratio'!O29)*Split!O29-'Price Data'!O28-'Right Share Ratio'!O29*'Right Share Offer Price'!O29*Split!O29)/'Price Data'!O28</f>
        <v>0</v>
      </c>
      <c r="P29" s="7">
        <f>('Price Data'!P29*(1+'Stock Dividend'!P29+'Right Share Ratio'!P29)*Split!P29-'Price Data'!P28-'Right Share Ratio'!P29*'Right Share Offer Price'!P29*Split!P29)/'Price Data'!P28</f>
        <v>0</v>
      </c>
      <c r="Q29" s="7">
        <f>('Price Data'!Q29*(1+'Stock Dividend'!Q29+'Right Share Ratio'!Q29)*Split!Q29-'Price Data'!Q28-'Right Share Ratio'!Q29*'Right Share Offer Price'!Q29*Split!Q29)/'Price Data'!Q28</f>
        <v>0</v>
      </c>
      <c r="R29" s="7">
        <f>('Price Data'!R29*(1+'Stock Dividend'!R29+'Right Share Ratio'!R29)*Split!R29-'Price Data'!R28-'Right Share Ratio'!R29*'Right Share Offer Price'!R29*Split!R29)/'Price Data'!R28</f>
        <v>-1.1327319066306008E-3</v>
      </c>
      <c r="S29" s="7">
        <f>('Price Data'!S29*(1+'Stock Dividend'!S29+'Right Share Ratio'!S29)*Split!S29-'Price Data'!S28-'Right Share Ratio'!S29*'Right Share Offer Price'!S29*Split!S29)/'Price Data'!S28</f>
        <v>-5.6682201788634554E-4</v>
      </c>
      <c r="T29" s="7">
        <f>('Price Data'!T29*(1+'Stock Dividend'!T29+'Right Share Ratio'!T29)*Split!T29-'Price Data'!T28-'Right Share Ratio'!T29*'Right Share Offer Price'!T29*Split!T29)/'Price Data'!T28</f>
        <v>0</v>
      </c>
      <c r="U29" s="7">
        <f>('Price Data'!U29*(1+'Stock Dividend'!U29+'Right Share Ratio'!U29)*Split!U29-'Price Data'!U28-'Right Share Ratio'!U29*'Right Share Offer Price'!U29*Split!U29)/'Price Data'!U28</f>
        <v>-3.8740920096852392E-2</v>
      </c>
      <c r="V29" s="7">
        <f>('Price Data'!V29*(1+'Stock Dividend'!V29+'Right Share Ratio'!V29)*Split!V29-'Price Data'!V28-'Right Share Ratio'!V29*'Right Share Offer Price'!V29*Split!V29)/'Price Data'!V28</f>
        <v>3.3879164313946604E-3</v>
      </c>
    </row>
    <row r="30" spans="1:22">
      <c r="A30" s="167"/>
      <c r="B30" s="16" t="s">
        <v>16</v>
      </c>
      <c r="C30" s="7">
        <f>('Price Data'!C30*(1+'Stock Dividend'!C30+'Right Share Ratio'!C30)*Split!C30-'Price Data'!C29-'Right Share Ratio'!C30*'Right Share Offer Price'!C30*Split!C30)/'Price Data'!C29</f>
        <v>0</v>
      </c>
      <c r="D30" s="7">
        <f>('Price Data'!D30*(1+'Stock Dividend'!D30+'Right Share Ratio'!D30)*Split!D30-'Price Data'!D29-'Right Share Ratio'!D30*'Right Share Offer Price'!D30*Split!D30)/'Price Data'!D29</f>
        <v>0</v>
      </c>
      <c r="E30" s="7">
        <f>('Price Data'!E30*(1+'Stock Dividend'!E30+'Right Share Ratio'!E30)*Split!E30-'Price Data'!E29-'Right Share Ratio'!E30*'Right Share Offer Price'!E30*Split!E30)/'Price Data'!E29</f>
        <v>0</v>
      </c>
      <c r="F30" s="7">
        <f>('Price Data'!F30*(1+'Stock Dividend'!F30+'Right Share Ratio'!F30)*Split!F30-'Price Data'!F29-'Right Share Ratio'!F30*'Right Share Offer Price'!F30*Split!F30)/'Price Data'!F29</f>
        <v>0</v>
      </c>
      <c r="G30" s="7">
        <f>('Price Data'!G30*(1+'Stock Dividend'!G30+'Right Share Ratio'!G30)*Split!G30-'Price Data'!G29-'Right Share Ratio'!G30*'Right Share Offer Price'!G30*Split!G30)/'Price Data'!G29</f>
        <v>-8.7030716723549506E-2</v>
      </c>
      <c r="H30" s="7">
        <f>('Price Data'!H30*(1+'Stock Dividend'!H30+'Right Share Ratio'!H30)*Split!H30-'Price Data'!H29-'Right Share Ratio'!H30*'Right Share Offer Price'!H30*Split!H30)/'Price Data'!H29</f>
        <v>-4.3396226415094288E-2</v>
      </c>
      <c r="I30" s="7">
        <f>('Price Data'!I30*(1+'Stock Dividend'!I30+'Right Share Ratio'!I30)*Split!I30-'Price Data'!I29-'Right Share Ratio'!I30*'Right Share Offer Price'!I30*Split!I30)/'Price Data'!I29</f>
        <v>0</v>
      </c>
      <c r="J30" s="7">
        <f>('Price Data'!J30*(1+'Stock Dividend'!J30+'Right Share Ratio'!J30)*Split!J30-'Price Data'!J29-'Right Share Ratio'!J30*'Right Share Offer Price'!J30*Split!J30)/'Price Data'!J29</f>
        <v>-3.383162863886701E-2</v>
      </c>
      <c r="K30" s="7">
        <f>('Price Data'!K30*(1+'Stock Dividend'!K30+'Right Share Ratio'!K30)*Split!K30-'Price Data'!K29-'Right Share Ratio'!K30*'Right Share Offer Price'!K30*Split!K30)/'Price Data'!K29</f>
        <v>-6.3440156965336933E-2</v>
      </c>
      <c r="L30" s="7">
        <f>('Price Data'!L30*(1+'Stock Dividend'!L30+'Right Share Ratio'!L30)*Split!L30-'Price Data'!L29-'Right Share Ratio'!L30*'Right Share Offer Price'!L30*Split!L30)/'Price Data'!L29</f>
        <v>0</v>
      </c>
      <c r="M30" s="7">
        <f>('Price Data'!M30*(1+'Stock Dividend'!M30+'Right Share Ratio'!M30)*Split!M30-'Price Data'!M29-'Right Share Ratio'!M30*'Right Share Offer Price'!M30*Split!M30)/'Price Data'!M29</f>
        <v>-2.4279685301932977E-2</v>
      </c>
      <c r="N30" s="7">
        <f>('Price Data'!N30*(1+'Stock Dividend'!N30+'Right Share Ratio'!N30)*Split!N30-'Price Data'!N29-'Right Share Ratio'!N30*'Right Share Offer Price'!N30*Split!N30)/'Price Data'!N29</f>
        <v>0</v>
      </c>
      <c r="O30" s="7">
        <f>('Price Data'!O30*(1+'Stock Dividend'!O30+'Right Share Ratio'!O30)*Split!O30-'Price Data'!O29-'Right Share Ratio'!O30*'Right Share Offer Price'!O30*Split!O30)/'Price Data'!O29</f>
        <v>0</v>
      </c>
      <c r="P30" s="7">
        <f>('Price Data'!P30*(1+'Stock Dividend'!P30+'Right Share Ratio'!P30)*Split!P30-'Price Data'!P29-'Right Share Ratio'!P30*'Right Share Offer Price'!P30*Split!P30)/'Price Data'!P29</f>
        <v>0</v>
      </c>
      <c r="Q30" s="7">
        <f>('Price Data'!Q30*(1+'Stock Dividend'!Q30+'Right Share Ratio'!Q30)*Split!Q30-'Price Data'!Q29-'Right Share Ratio'!Q30*'Right Share Offer Price'!Q30*Split!Q30)/'Price Data'!Q29</f>
        <v>0</v>
      </c>
      <c r="R30" s="7">
        <f>('Price Data'!R30*(1+'Stock Dividend'!R30+'Right Share Ratio'!R30)*Split!R30-'Price Data'!R29-'Right Share Ratio'!R30*'Right Share Offer Price'!R30*Split!R30)/'Price Data'!R29</f>
        <v>-1.9278279535053223E-2</v>
      </c>
      <c r="S30" s="7">
        <f>('Price Data'!S30*(1+'Stock Dividend'!S30+'Right Share Ratio'!S30)*Split!S30-'Price Data'!S29-'Right Share Ratio'!S30*'Right Share Offer Price'!S30*Split!S30)/'Price Data'!S29</f>
        <v>0</v>
      </c>
      <c r="T30" s="7">
        <f>('Price Data'!T30*(1+'Stock Dividend'!T30+'Right Share Ratio'!T30)*Split!T30-'Price Data'!T29-'Right Share Ratio'!T30*'Right Share Offer Price'!T30*Split!T30)/'Price Data'!T29</f>
        <v>0</v>
      </c>
      <c r="U30" s="7">
        <f>('Price Data'!U30*(1+'Stock Dividend'!U30+'Right Share Ratio'!U30)*Split!U30-'Price Data'!U29-'Right Share Ratio'!U30*'Right Share Offer Price'!U30*Split!U30)/'Price Data'!U29</f>
        <v>-8.060453400503774E-2</v>
      </c>
      <c r="V30" s="7">
        <f>('Price Data'!V30*(1+'Stock Dividend'!V30+'Right Share Ratio'!V30)*Split!V30-'Price Data'!V29-'Right Share Ratio'!V30*'Right Share Offer Price'!V30*Split!V30)/'Price Data'!V29</f>
        <v>5.6274620146326809E-4</v>
      </c>
    </row>
    <row r="31" spans="1:22">
      <c r="A31" s="167"/>
      <c r="B31" s="16" t="s">
        <v>17</v>
      </c>
      <c r="C31" s="7">
        <f>('Price Data'!C31*(1+'Stock Dividend'!C31+'Right Share Ratio'!C31)*Split!C31-'Price Data'!C30-'Right Share Ratio'!C31*'Right Share Offer Price'!C31*Split!C31)/'Price Data'!C30</f>
        <v>0</v>
      </c>
      <c r="D31" s="7">
        <f>('Price Data'!D31*(1+'Stock Dividend'!D31+'Right Share Ratio'!D31)*Split!D31-'Price Data'!D30-'Right Share Ratio'!D31*'Right Share Offer Price'!D31*Split!D31)/'Price Data'!D30</f>
        <v>0</v>
      </c>
      <c r="E31" s="7">
        <f>('Price Data'!E31*(1+'Stock Dividend'!E31+'Right Share Ratio'!E31)*Split!E31-'Price Data'!E30-'Right Share Ratio'!E31*'Right Share Offer Price'!E31*Split!E31)/'Price Data'!E30</f>
        <v>0</v>
      </c>
      <c r="F31" s="7">
        <f>('Price Data'!F31*(1+'Stock Dividend'!F31+'Right Share Ratio'!F31)*Split!F31-'Price Data'!F30-'Right Share Ratio'!F31*'Right Share Offer Price'!F31*Split!F31)/'Price Data'!F30</f>
        <v>0</v>
      </c>
      <c r="G31" s="7">
        <f>('Price Data'!G31*(1+'Stock Dividend'!G31+'Right Share Ratio'!G31)*Split!G31-'Price Data'!G30-'Right Share Ratio'!G31*'Right Share Offer Price'!G31*Split!G31)/'Price Data'!G30</f>
        <v>6.1682242990654154E-2</v>
      </c>
      <c r="H31" s="7">
        <f>('Price Data'!H31*(1+'Stock Dividend'!H31+'Right Share Ratio'!H31)*Split!H31-'Price Data'!H30-'Right Share Ratio'!H31*'Right Share Offer Price'!H31*Split!H31)/'Price Data'!H30</f>
        <v>-1.1834319526627246E-2</v>
      </c>
      <c r="I31" s="7">
        <f>('Price Data'!I31*(1+'Stock Dividend'!I31+'Right Share Ratio'!I31)*Split!I31-'Price Data'!I30-'Right Share Ratio'!I31*'Right Share Offer Price'!I31*Split!I31)/'Price Data'!I30</f>
        <v>0</v>
      </c>
      <c r="J31" s="7">
        <f>('Price Data'!J31*(1+'Stock Dividend'!J31+'Right Share Ratio'!J31)*Split!J31-'Price Data'!J30-'Right Share Ratio'!J31*'Right Share Offer Price'!J31*Split!J31)/'Price Data'!J30</f>
        <v>9.0390879478827429E-2</v>
      </c>
      <c r="K31" s="7">
        <f>('Price Data'!K31*(1+'Stock Dividend'!K31+'Right Share Ratio'!K31)*Split!K31-'Price Data'!K30-'Right Share Ratio'!K31*'Right Share Offer Price'!K31*Split!K31)/'Price Data'!K30</f>
        <v>6.1452513966480528E-2</v>
      </c>
      <c r="L31" s="7">
        <f>('Price Data'!L31*(1+'Stock Dividend'!L31+'Right Share Ratio'!L31)*Split!L31-'Price Data'!L30-'Right Share Ratio'!L31*'Right Share Offer Price'!L31*Split!L31)/'Price Data'!L30</f>
        <v>0</v>
      </c>
      <c r="M31" s="7">
        <f>('Price Data'!M31*(1+'Stock Dividend'!M31+'Right Share Ratio'!M31)*Split!M31-'Price Data'!M30-'Right Share Ratio'!M31*'Right Share Offer Price'!M31*Split!M31)/'Price Data'!M30</f>
        <v>0</v>
      </c>
      <c r="N31" s="7">
        <f>('Price Data'!N31*(1+'Stock Dividend'!N31+'Right Share Ratio'!N31)*Split!N31-'Price Data'!N30-'Right Share Ratio'!N31*'Right Share Offer Price'!N31*Split!N31)/'Price Data'!N30</f>
        <v>5.0000000000000031E-2</v>
      </c>
      <c r="O31" s="7">
        <f>('Price Data'!O31*(1+'Stock Dividend'!O31+'Right Share Ratio'!O31)*Split!O31-'Price Data'!O30-'Right Share Ratio'!O31*'Right Share Offer Price'!O31*Split!O31)/'Price Data'!O30</f>
        <v>0</v>
      </c>
      <c r="P31" s="7">
        <f>('Price Data'!P31*(1+'Stock Dividend'!P31+'Right Share Ratio'!P31)*Split!P31-'Price Data'!P30-'Right Share Ratio'!P31*'Right Share Offer Price'!P31*Split!P31)/'Price Data'!P30</f>
        <v>0</v>
      </c>
      <c r="Q31" s="7">
        <f>('Price Data'!Q31*(1+'Stock Dividend'!Q31+'Right Share Ratio'!Q31)*Split!Q31-'Price Data'!Q30-'Right Share Ratio'!Q31*'Right Share Offer Price'!Q31*Split!Q31)/'Price Data'!Q30</f>
        <v>0</v>
      </c>
      <c r="R31" s="7">
        <f>('Price Data'!R31*(1+'Stock Dividend'!R31+'Right Share Ratio'!R31)*Split!R31-'Price Data'!R30-'Right Share Ratio'!R31*'Right Share Offer Price'!R31*Split!R31)/'Price Data'!R30</f>
        <v>1.618831302911411E-2</v>
      </c>
      <c r="S31" s="7">
        <f>('Price Data'!S31*(1+'Stock Dividend'!S31+'Right Share Ratio'!S31)*Split!S31-'Price Data'!S30-'Right Share Ratio'!S31*'Right Share Offer Price'!S31*Split!S31)/'Price Data'!S30</f>
        <v>0</v>
      </c>
      <c r="T31" s="7">
        <f>('Price Data'!T31*(1+'Stock Dividend'!T31+'Right Share Ratio'!T31)*Split!T31-'Price Data'!T30-'Right Share Ratio'!T31*'Right Share Offer Price'!T31*Split!T31)/'Price Data'!T30</f>
        <v>0</v>
      </c>
      <c r="U31" s="7">
        <f>('Price Data'!U31*(1+'Stock Dividend'!U31+'Right Share Ratio'!U31)*Split!U31-'Price Data'!U30-'Right Share Ratio'!U31*'Right Share Offer Price'!U31*Split!U31)/'Price Data'!U30</f>
        <v>6.9406392694063873E-2</v>
      </c>
      <c r="V31" s="7">
        <f>('Price Data'!V31*(1+'Stock Dividend'!V31+'Right Share Ratio'!V31)*Split!V31-'Price Data'!V30-'Right Share Ratio'!V31*'Right Share Offer Price'!V31*Split!V31)/'Price Data'!V30</f>
        <v>-5.2305961754780715E-2</v>
      </c>
    </row>
    <row r="32" spans="1:22">
      <c r="A32" s="166">
        <v>2024</v>
      </c>
      <c r="B32" s="15" t="s">
        <v>18</v>
      </c>
      <c r="C32" s="7">
        <f>('Price Data'!C32*(1+'Stock Dividend'!C32+'Right Share Ratio'!C32)*Split!C32-'Price Data'!C31-'Right Share Ratio'!C32*'Right Share Offer Price'!C32*Split!C32)/'Price Data'!C31</f>
        <v>5.2861685214626322E-2</v>
      </c>
      <c r="D32" s="7">
        <f>('Price Data'!D32*(1+'Stock Dividend'!D32+'Right Share Ratio'!D32)*Split!D32-'Price Data'!D31-'Right Share Ratio'!D32*'Right Share Offer Price'!D32*Split!D32)/'Price Data'!D31</f>
        <v>-0.10687022900763361</v>
      </c>
      <c r="E32" s="7">
        <f>('Price Data'!E32*(1+'Stock Dividend'!E32+'Right Share Ratio'!E32)*Split!E32-'Price Data'!E31-'Right Share Ratio'!E32*'Right Share Offer Price'!E32*Split!E32)/'Price Data'!E31</f>
        <v>-0.45497630331753558</v>
      </c>
      <c r="F32" s="7">
        <f>('Price Data'!F32*(1+'Stock Dividend'!F32+'Right Share Ratio'!F32)*Split!F32-'Price Data'!F31-'Right Share Ratio'!F32*'Right Share Offer Price'!F32*Split!F32)/'Price Data'!F31</f>
        <v>-0.13403880070546739</v>
      </c>
      <c r="G32" s="7">
        <f>('Price Data'!G32*(1+'Stock Dividend'!G32+'Right Share Ratio'!G32)*Split!G32-'Price Data'!G31-'Right Share Ratio'!G32*'Right Share Offer Price'!G32*Split!G32)/'Price Data'!G31</f>
        <v>2.9929577464788783E-2</v>
      </c>
      <c r="H32" s="7">
        <f>('Price Data'!H32*(1+'Stock Dividend'!H32+'Right Share Ratio'!H32)*Split!H32-'Price Data'!H31-'Right Share Ratio'!H32*'Right Share Offer Price'!H32*Split!H32)/'Price Data'!H31</f>
        <v>1.9960079840319361E-2</v>
      </c>
      <c r="I32" s="7">
        <f>('Price Data'!I32*(1+'Stock Dividend'!I32+'Right Share Ratio'!I32)*Split!I32-'Price Data'!I31-'Right Share Ratio'!I32*'Right Share Offer Price'!I32*Split!I32)/'Price Data'!I31</f>
        <v>-0.13701015965166916</v>
      </c>
      <c r="J32" s="7">
        <f>('Price Data'!J32*(1+'Stock Dividend'!J32+'Right Share Ratio'!J32)*Split!J32-'Price Data'!J31-'Right Share Ratio'!J32*'Right Share Offer Price'!J32*Split!J32)/'Price Data'!J31</f>
        <v>-5.9746079163555737E-3</v>
      </c>
      <c r="K32" s="7">
        <f>('Price Data'!K32*(1+'Stock Dividend'!K32+'Right Share Ratio'!K32)*Split!K32-'Price Data'!K31-'Right Share Ratio'!K32*'Right Share Offer Price'!K32*Split!K32)/'Price Data'!K31</f>
        <v>4.6052631578946618E-3</v>
      </c>
      <c r="L32" s="7">
        <f>('Price Data'!L32*(1+'Stock Dividend'!L32+'Right Share Ratio'!L32)*Split!L32-'Price Data'!L31-'Right Share Ratio'!L32*'Right Share Offer Price'!L32*Split!L32)/'Price Data'!L31</f>
        <v>-0.25289575289575278</v>
      </c>
      <c r="M32" s="7">
        <f>('Price Data'!M32*(1+'Stock Dividend'!M32+'Right Share Ratio'!M32)*Split!M32-'Price Data'!M31-'Right Share Ratio'!M32*'Right Share Offer Price'!M32*Split!M32)/'Price Data'!M31</f>
        <v>-7.4170983072569099E-2</v>
      </c>
      <c r="N32" s="7">
        <f>('Price Data'!N32*(1+'Stock Dividend'!N32+'Right Share Ratio'!N32)*Split!N32-'Price Data'!N31-'Right Share Ratio'!N32*'Right Share Offer Price'!N32*Split!N32)/'Price Data'!N31</f>
        <v>-0.16404494382022466</v>
      </c>
      <c r="O32" s="7">
        <f>('Price Data'!O32*(1+'Stock Dividend'!O32+'Right Share Ratio'!O32)*Split!O32-'Price Data'!O31-'Right Share Ratio'!O32*'Right Share Offer Price'!O32*Split!O32)/'Price Data'!O31</f>
        <v>0</v>
      </c>
      <c r="P32" s="7">
        <f>('Price Data'!P32*(1+'Stock Dividend'!P32+'Right Share Ratio'!P32)*Split!P32-'Price Data'!P31-'Right Share Ratio'!P32*'Right Share Offer Price'!P32*Split!P32)/'Price Data'!P31</f>
        <v>-6.9434752267969413E-2</v>
      </c>
      <c r="Q32" s="7">
        <f>('Price Data'!Q32*(1+'Stock Dividend'!Q32+'Right Share Ratio'!Q32)*Split!Q32-'Price Data'!Q31-'Right Share Ratio'!Q32*'Right Share Offer Price'!Q32*Split!Q32)/'Price Data'!Q31</f>
        <v>0</v>
      </c>
      <c r="R32" s="7">
        <f>('Price Data'!R32*(1+'Stock Dividend'!R32+'Right Share Ratio'!R32)*Split!R32-'Price Data'!R31-'Right Share Ratio'!R32*'Right Share Offer Price'!R32*Split!R32)/'Price Data'!R31</f>
        <v>2.4261389035640377E-2</v>
      </c>
      <c r="S32" s="7">
        <f>('Price Data'!S32*(1+'Stock Dividend'!S32+'Right Share Ratio'!S32)*Split!S32-'Price Data'!S31-'Right Share Ratio'!S32*'Right Share Offer Price'!S32*Split!S32)/'Price Data'!S31</f>
        <v>4.7745079505114835E-2</v>
      </c>
      <c r="T32" s="7">
        <f>('Price Data'!T32*(1+'Stock Dividend'!T32+'Right Share Ratio'!T32)*Split!T32-'Price Data'!T31-'Right Share Ratio'!T32*'Right Share Offer Price'!T32*Split!T32)/'Price Data'!T31</f>
        <v>-0.22987012987012992</v>
      </c>
      <c r="U32" s="7">
        <f>('Price Data'!U32*(1+'Stock Dividend'!U32+'Right Share Ratio'!U32)*Split!U32-'Price Data'!U31-'Right Share Ratio'!U32*'Right Share Offer Price'!U32*Split!U32)/'Price Data'!U31</f>
        <v>9.2228864218616674E-2</v>
      </c>
      <c r="V32" s="7">
        <f>('Price Data'!V32*(1+'Stock Dividend'!V32+'Right Share Ratio'!V32)*Split!V32-'Price Data'!V31-'Right Share Ratio'!V32*'Right Share Offer Price'!V32*Split!V32)/'Price Data'!V31</f>
        <v>8.3086053412463248E-3</v>
      </c>
    </row>
    <row r="33" spans="1:22">
      <c r="A33" s="166"/>
      <c r="B33" s="15" t="s">
        <v>19</v>
      </c>
      <c r="C33" s="7">
        <f>('Price Data'!C33*(1+'Stock Dividend'!C33+'Right Share Ratio'!C33)*Split!C33-'Price Data'!C32-'Right Share Ratio'!C33*'Right Share Offer Price'!C33*Split!C33)/'Price Data'!C32</f>
        <v>0.13250283125707821</v>
      </c>
      <c r="D33" s="7">
        <f>('Price Data'!D33*(1+'Stock Dividend'!D33+'Right Share Ratio'!D33)*Split!D33-'Price Data'!D32-'Right Share Ratio'!D33*'Right Share Offer Price'!D33*Split!D33)/'Price Data'!D32</f>
        <v>1.7094017094017186E-2</v>
      </c>
      <c r="E33" s="7">
        <f>('Price Data'!E33*(1+'Stock Dividend'!E33+'Right Share Ratio'!E33)*Split!E33-'Price Data'!E32-'Right Share Ratio'!E33*'Right Share Offer Price'!E33*Split!E33)/'Price Data'!E32</f>
        <v>2.5752508361204119E-2</v>
      </c>
      <c r="F33" s="7">
        <f>('Price Data'!F33*(1+'Stock Dividend'!F33+'Right Share Ratio'!F33)*Split!F33-'Price Data'!F32-'Right Share Ratio'!F33*'Right Share Offer Price'!F33*Split!F33)/'Price Data'!F32</f>
        <v>-4.2769857433808581E-2</v>
      </c>
      <c r="G33" s="7">
        <f>('Price Data'!G33*(1+'Stock Dividend'!G33+'Right Share Ratio'!G33)*Split!G33-'Price Data'!G32-'Right Share Ratio'!G33*'Right Share Offer Price'!G33*Split!G33)/'Price Data'!G32</f>
        <v>-6.6666666666666638E-2</v>
      </c>
      <c r="H33" s="7">
        <f>('Price Data'!H33*(1+'Stock Dividend'!H33+'Right Share Ratio'!H33)*Split!H33-'Price Data'!H32-'Right Share Ratio'!H33*'Right Share Offer Price'!H33*Split!H33)/'Price Data'!H32</f>
        <v>-1.9569471624266144E-2</v>
      </c>
      <c r="I33" s="7">
        <f>('Price Data'!I33*(1+'Stock Dividend'!I33+'Right Share Ratio'!I33)*Split!I33-'Price Data'!I32-'Right Share Ratio'!I33*'Right Share Offer Price'!I33*Split!I33)/'Price Data'!I32</f>
        <v>0.46787756474941139</v>
      </c>
      <c r="J33" s="7">
        <f>('Price Data'!J33*(1+'Stock Dividend'!J33+'Right Share Ratio'!J33)*Split!J33-'Price Data'!J32-'Right Share Ratio'!J33*'Right Share Offer Price'!J33*Split!J33)/'Price Data'!J32</f>
        <v>0.19534184823441023</v>
      </c>
      <c r="K33" s="7">
        <f>('Price Data'!K33*(1+'Stock Dividend'!K33+'Right Share Ratio'!K33)*Split!K33-'Price Data'!K32-'Right Share Ratio'!K33*'Right Share Offer Price'!K33*Split!K33)/'Price Data'!K32</f>
        <v>-4.9115913555992145E-2</v>
      </c>
      <c r="L33" s="7">
        <f>('Price Data'!L33*(1+'Stock Dividend'!L33+'Right Share Ratio'!L33)*Split!L33-'Price Data'!L32-'Right Share Ratio'!L33*'Right Share Offer Price'!L33*Split!L33)/'Price Data'!L32</f>
        <v>4.7803617571059283E-2</v>
      </c>
      <c r="M33" s="7">
        <f>('Price Data'!M33*(1+'Stock Dividend'!M33+'Right Share Ratio'!M33)*Split!M33-'Price Data'!M32-'Right Share Ratio'!M33*'Right Share Offer Price'!M33*Split!M33)/'Price Data'!M32</f>
        <v>5.8311223901257432E-2</v>
      </c>
      <c r="N33" s="7">
        <f>('Price Data'!N33*(1+'Stock Dividend'!N33+'Right Share Ratio'!N33)*Split!N33-'Price Data'!N32-'Right Share Ratio'!N33*'Right Share Offer Price'!N33*Split!N33)/'Price Data'!N32</f>
        <v>8.0645161290322578E-2</v>
      </c>
      <c r="O33" s="7">
        <f>('Price Data'!O33*(1+'Stock Dividend'!O33+'Right Share Ratio'!O33)*Split!O33-'Price Data'!O32-'Right Share Ratio'!O33*'Right Share Offer Price'!O33*Split!O33)/'Price Data'!O32</f>
        <v>0</v>
      </c>
      <c r="P33" s="7">
        <f>('Price Data'!P33*(1+'Stock Dividend'!P33+'Right Share Ratio'!P33)*Split!P33-'Price Data'!P32-'Right Share Ratio'!P33*'Right Share Offer Price'!P33*Split!P33)/'Price Data'!P32</f>
        <v>1.6122984626921678E-2</v>
      </c>
      <c r="Q33" s="7">
        <f>('Price Data'!Q33*(1+'Stock Dividend'!Q33+'Right Share Ratio'!Q33)*Split!Q33-'Price Data'!Q32-'Right Share Ratio'!Q33*'Right Share Offer Price'!Q33*Split!Q33)/'Price Data'!Q32</f>
        <v>-0.22522374579193699</v>
      </c>
      <c r="R33" s="7">
        <f>('Price Data'!R33*(1+'Stock Dividend'!R33+'Right Share Ratio'!R33)*Split!R33-'Price Data'!R32-'Right Share Ratio'!R33*'Right Share Offer Price'!R33*Split!R33)/'Price Data'!R32</f>
        <v>-1.7854308839866688E-3</v>
      </c>
      <c r="S33" s="7">
        <f>('Price Data'!S33*(1+'Stock Dividend'!S33+'Right Share Ratio'!S33)*Split!S33-'Price Data'!S32-'Right Share Ratio'!S33*'Right Share Offer Price'!S33*Split!S33)/'Price Data'!S32</f>
        <v>3.9494787489975577E-3</v>
      </c>
      <c r="T33" s="7">
        <f>('Price Data'!T33*(1+'Stock Dividend'!T33+'Right Share Ratio'!T33)*Split!T33-'Price Data'!T32-'Right Share Ratio'!T33*'Right Share Offer Price'!T33*Split!T33)/'Price Data'!T32</f>
        <v>-7.0826306913996565E-2</v>
      </c>
      <c r="U33" s="7">
        <f>('Price Data'!U33*(1+'Stock Dividend'!U33+'Right Share Ratio'!U33)*Split!U33-'Price Data'!U32-'Right Share Ratio'!U33*'Right Share Offer Price'!U33*Split!U33)/'Price Data'!U32</f>
        <v>-2.9710711493354271E-2</v>
      </c>
      <c r="V33" s="7">
        <f>('Price Data'!V33*(1+'Stock Dividend'!V33+'Right Share Ratio'!V33)*Split!V33-'Price Data'!V32-'Right Share Ratio'!V33*'Right Share Offer Price'!V33*Split!V33)/'Price Data'!V32</f>
        <v>2.7074749852854588E-2</v>
      </c>
    </row>
    <row r="34" spans="1:22">
      <c r="A34" s="166"/>
      <c r="B34" s="15" t="s">
        <v>20</v>
      </c>
      <c r="C34" s="7">
        <f>('Price Data'!C34*(1+'Stock Dividend'!C34+'Right Share Ratio'!C34)*Split!C34-'Price Data'!C33-'Right Share Ratio'!C34*'Right Share Offer Price'!C34*Split!C34)/'Price Data'!C33</f>
        <v>-5.8333333333333334E-2</v>
      </c>
      <c r="D34" s="7">
        <f>('Price Data'!D34*(1+'Stock Dividend'!D34+'Right Share Ratio'!D34)*Split!D34-'Price Data'!D33-'Right Share Ratio'!D34*'Right Share Offer Price'!D34*Split!D34)/'Price Data'!D33</f>
        <v>0</v>
      </c>
      <c r="E34" s="7">
        <f>('Price Data'!E34*(1+'Stock Dividend'!E34+'Right Share Ratio'!E34)*Split!E34-'Price Data'!E33-'Right Share Ratio'!E34*'Right Share Offer Price'!E34*Split!E34)/'Price Data'!E33</f>
        <v>-0.15226605803716992</v>
      </c>
      <c r="F34" s="7">
        <f>('Price Data'!F34*(1+'Stock Dividend'!F34+'Right Share Ratio'!F34)*Split!F34-'Price Data'!F33-'Right Share Ratio'!F34*'Right Share Offer Price'!F34*Split!F34)/'Price Data'!F33</f>
        <v>-0.13191489361702133</v>
      </c>
      <c r="G34" s="7">
        <f>('Price Data'!G34*(1+'Stock Dividend'!G34+'Right Share Ratio'!G34)*Split!G34-'Price Data'!G33-'Right Share Ratio'!G34*'Right Share Offer Price'!G34*Split!G34)/'Price Data'!G33</f>
        <v>0</v>
      </c>
      <c r="H34" s="7">
        <f>('Price Data'!H34*(1+'Stock Dividend'!H34+'Right Share Ratio'!H34)*Split!H34-'Price Data'!H33-'Right Share Ratio'!H34*'Right Share Offer Price'!H34*Split!H34)/'Price Data'!H33</f>
        <v>-9.9800399201596807E-2</v>
      </c>
      <c r="I34" s="7">
        <f>('Price Data'!I34*(1+'Stock Dividend'!I34+'Right Share Ratio'!I34)*Split!I34-'Price Data'!I33-'Right Share Ratio'!I34*'Right Share Offer Price'!I34*Split!I34)/'Price Data'!I33</f>
        <v>0.13748854262144822</v>
      </c>
      <c r="J34" s="7">
        <f>('Price Data'!J34*(1+'Stock Dividend'!J34+'Right Share Ratio'!J34)*Split!J34-'Price Data'!J33-'Right Share Ratio'!J34*'Right Share Offer Price'!J34*Split!J34)/'Price Data'!J33</f>
        <v>0.11879321181646767</v>
      </c>
      <c r="K34" s="7">
        <f>('Price Data'!K34*(1+'Stock Dividend'!K34+'Right Share Ratio'!K34)*Split!K34-'Price Data'!K33-'Right Share Ratio'!K34*'Right Share Offer Price'!K34*Split!K34)/'Price Data'!K33</f>
        <v>4.7520661157024836E-2</v>
      </c>
      <c r="L34" s="7">
        <f>('Price Data'!L34*(1+'Stock Dividend'!L34+'Right Share Ratio'!L34)*Split!L34-'Price Data'!L33-'Right Share Ratio'!L34*'Right Share Offer Price'!L34*Split!L34)/'Price Data'!L33</f>
        <v>-0.1134401972872995</v>
      </c>
      <c r="M34" s="7">
        <f>('Price Data'!M34*(1+'Stock Dividend'!M34+'Right Share Ratio'!M34)*Split!M34-'Price Data'!M33-'Right Share Ratio'!M34*'Right Share Offer Price'!M34*Split!M34)/'Price Data'!M33</f>
        <v>-3.4879284974658052E-2</v>
      </c>
      <c r="N34" s="7">
        <f>('Price Data'!N34*(1+'Stock Dividend'!N34+'Right Share Ratio'!N34)*Split!N34-'Price Data'!N33-'Right Share Ratio'!N34*'Right Share Offer Price'!N34*Split!N34)/'Price Data'!N33</f>
        <v>-8.3333333333333356E-2</v>
      </c>
      <c r="O34" s="7">
        <f>('Price Data'!O34*(1+'Stock Dividend'!O34+'Right Share Ratio'!O34)*Split!O34-'Price Data'!O33-'Right Share Ratio'!O34*'Right Share Offer Price'!O34*Split!O34)/'Price Data'!O33</f>
        <v>-0.17027215631542222</v>
      </c>
      <c r="P34" s="7">
        <f>('Price Data'!P34*(1+'Stock Dividend'!P34+'Right Share Ratio'!P34)*Split!P34-'Price Data'!P33-'Right Share Ratio'!P34*'Right Share Offer Price'!P34*Split!P34)/'Price Data'!P33</f>
        <v>-2.8782287822878269E-2</v>
      </c>
      <c r="Q34" s="7">
        <f>('Price Data'!Q34*(1+'Stock Dividend'!Q34+'Right Share Ratio'!Q34)*Split!Q34-'Price Data'!Q33-'Right Share Ratio'!Q34*'Right Share Offer Price'!Q34*Split!Q34)/'Price Data'!Q33</f>
        <v>-0.17761763459092839</v>
      </c>
      <c r="R34" s="7">
        <f>('Price Data'!R34*(1+'Stock Dividend'!R34+'Right Share Ratio'!R34)*Split!R34-'Price Data'!R33-'Right Share Ratio'!R34*'Right Share Offer Price'!R34*Split!R34)/'Price Data'!R33</f>
        <v>-2.8220517508645016E-2</v>
      </c>
      <c r="S34" s="7">
        <f>('Price Data'!S34*(1+'Stock Dividend'!S34+'Right Share Ratio'!S34)*Split!S34-'Price Data'!S33-'Right Share Ratio'!S34*'Right Share Offer Price'!S34*Split!S34)/'Price Data'!S33</f>
        <v>-6.3861653054296419E-2</v>
      </c>
      <c r="T34" s="7">
        <f>('Price Data'!T34*(1+'Stock Dividend'!T34+'Right Share Ratio'!T34)*Split!T34-'Price Data'!T33-'Right Share Ratio'!T34*'Right Share Offer Price'!T34*Split!T34)/'Price Data'!T33</f>
        <v>-0.18330308529945555</v>
      </c>
      <c r="U34" s="7">
        <f>('Price Data'!U34*(1+'Stock Dividend'!U34+'Right Share Ratio'!U34)*Split!U34-'Price Data'!U33-'Right Share Ratio'!U34*'Right Share Offer Price'!U34*Split!U34)/'Price Data'!U33</f>
        <v>-3.8678485092667185E-2</v>
      </c>
      <c r="V34" s="7">
        <f>('Price Data'!V34*(1+'Stock Dividend'!V34+'Right Share Ratio'!V34)*Split!V34-'Price Data'!V33-'Right Share Ratio'!V34*'Right Share Offer Price'!V34*Split!V34)/'Price Data'!V33</f>
        <v>-6.8767908309454936E-3</v>
      </c>
    </row>
    <row r="35" spans="1:22">
      <c r="A35" s="166"/>
      <c r="B35" s="15" t="s">
        <v>21</v>
      </c>
      <c r="C35" s="7">
        <f>('Price Data'!C35*(1+'Stock Dividend'!C35+'Right Share Ratio'!C35)*Split!C35-'Price Data'!C34-'Right Share Ratio'!C35*'Right Share Offer Price'!C35*Split!C35)/'Price Data'!C34</f>
        <v>-3.7522123893805263E-2</v>
      </c>
      <c r="D35" s="7">
        <f>('Price Data'!D35*(1+'Stock Dividend'!D35+'Right Share Ratio'!D35)*Split!D35-'Price Data'!D34-'Right Share Ratio'!D35*'Right Share Offer Price'!D35*Split!D35)/'Price Data'!D34</f>
        <v>0</v>
      </c>
      <c r="E35" s="7">
        <f>('Price Data'!E35*(1+'Stock Dividend'!E35+'Right Share Ratio'!E35)*Split!E35-'Price Data'!E34-'Right Share Ratio'!E35*'Right Share Offer Price'!E35*Split!E35)/'Price Data'!E34</f>
        <v>-0.16161538461538455</v>
      </c>
      <c r="F35" s="7">
        <f>('Price Data'!F35*(1+'Stock Dividend'!F35+'Right Share Ratio'!F35)*Split!F35-'Price Data'!F34-'Right Share Ratio'!F35*'Right Share Offer Price'!F35*Split!F35)/'Price Data'!F34</f>
        <v>-9.0686274509803821E-2</v>
      </c>
      <c r="G35" s="7">
        <f>('Price Data'!G35*(1+'Stock Dividend'!G35+'Right Share Ratio'!G35)*Split!G35-'Price Data'!G34-'Right Share Ratio'!G35*'Right Share Offer Price'!G35*Split!G35)/'Price Data'!G34</f>
        <v>6.4102564102564097E-2</v>
      </c>
      <c r="H35" s="7">
        <f>('Price Data'!H35*(1+'Stock Dividend'!H35+'Right Share Ratio'!H35)*Split!H35-'Price Data'!H34-'Right Share Ratio'!H35*'Right Share Offer Price'!H35*Split!H35)/'Price Data'!H34</f>
        <v>-4.2128603104212826E-2</v>
      </c>
      <c r="I35" s="7">
        <f>('Price Data'!I35*(1+'Stock Dividend'!I35+'Right Share Ratio'!I35)*Split!I35-'Price Data'!I34-'Right Share Ratio'!I35*'Right Share Offer Price'!I35*Split!I35)/'Price Data'!I34</f>
        <v>0.45950846091861408</v>
      </c>
      <c r="J35" s="7">
        <f>('Price Data'!J35*(1+'Stock Dividend'!J35+'Right Share Ratio'!J35)*Split!J35-'Price Data'!J34-'Right Share Ratio'!J35*'Right Share Offer Price'!J35*Split!J35)/'Price Data'!J34</f>
        <v>-1.1235955056179137E-3</v>
      </c>
      <c r="K35" s="7">
        <f>('Price Data'!K35*(1+'Stock Dividend'!K35+'Right Share Ratio'!K35)*Split!K35-'Price Data'!K34-'Right Share Ratio'!K35*'Right Share Offer Price'!K35*Split!K35)/'Price Data'!K34</f>
        <v>-5.2596975673898753E-2</v>
      </c>
      <c r="L35" s="7">
        <f>('Price Data'!L35*(1+'Stock Dividend'!L35+'Right Share Ratio'!L35)*Split!L35-'Price Data'!L34-'Right Share Ratio'!L35*'Right Share Offer Price'!L35*Split!L35)/'Price Data'!L34</f>
        <v>-7.3713490959666353E-2</v>
      </c>
      <c r="M35" s="7">
        <f>('Price Data'!M35*(1+'Stock Dividend'!M35+'Right Share Ratio'!M35)*Split!M35-'Price Data'!M34-'Right Share Ratio'!M35*'Right Share Offer Price'!M35*Split!M35)/'Price Data'!M34</f>
        <v>-3.7777401321362009E-2</v>
      </c>
      <c r="N35" s="7">
        <f>('Price Data'!N35*(1+'Stock Dividend'!N35+'Right Share Ratio'!N35)*Split!N35-'Price Data'!N34-'Right Share Ratio'!N35*'Right Share Offer Price'!N35*Split!N35)/'Price Data'!N34</f>
        <v>1.7639077340569839E-2</v>
      </c>
      <c r="O35" s="7">
        <f>('Price Data'!O35*(1+'Stock Dividend'!O35+'Right Share Ratio'!O35)*Split!O35-'Price Data'!O34-'Right Share Ratio'!O35*'Right Share Offer Price'!O35*Split!O35)/'Price Data'!O34</f>
        <v>-8.4104289318755257E-3</v>
      </c>
      <c r="P35" s="7">
        <f>('Price Data'!P35*(1+'Stock Dividend'!P35+'Right Share Ratio'!P35)*Split!P35-'Price Data'!P34-'Right Share Ratio'!P35*'Right Share Offer Price'!P35*Split!P35)/'Price Data'!P34</f>
        <v>-2.507598784194516E-2</v>
      </c>
      <c r="Q35" s="7">
        <f>('Price Data'!Q35*(1+'Stock Dividend'!Q35+'Right Share Ratio'!Q35)*Split!Q35-'Price Data'!Q34-'Right Share Ratio'!Q35*'Right Share Offer Price'!Q35*Split!Q35)/'Price Data'!Q34</f>
        <v>-9.4072164948453014E-3</v>
      </c>
      <c r="R35" s="7">
        <f>('Price Data'!R35*(1+'Stock Dividend'!R35+'Right Share Ratio'!R35)*Split!R35-'Price Data'!R34-'Right Share Ratio'!R35*'Right Share Offer Price'!R35*Split!R35)/'Price Data'!R34</f>
        <v>-4.7609309174199387E-2</v>
      </c>
      <c r="S35" s="7">
        <f>('Price Data'!S35*(1+'Stock Dividend'!S35+'Right Share Ratio'!S35)*Split!S35-'Price Data'!S34-'Right Share Ratio'!S35*'Right Share Offer Price'!S35*Split!S35)/'Price Data'!S34</f>
        <v>-4.5436122784189084E-2</v>
      </c>
      <c r="T35" s="7">
        <f>('Price Data'!T35*(1+'Stock Dividend'!T35+'Right Share Ratio'!T35)*Split!T35-'Price Data'!T34-'Right Share Ratio'!T35*'Right Share Offer Price'!T35*Split!T35)/'Price Data'!T34</f>
        <v>4.4444444444445078E-3</v>
      </c>
      <c r="U35" s="7">
        <f>('Price Data'!U35*(1+'Stock Dividend'!U35+'Right Share Ratio'!U35)*Split!U35-'Price Data'!U34-'Right Share Ratio'!U35*'Right Share Offer Price'!U35*Split!U35)/'Price Data'!U34</f>
        <v>-7.7954735959765278E-2</v>
      </c>
      <c r="V35" s="7">
        <f>('Price Data'!V35*(1+'Stock Dividend'!V35+'Right Share Ratio'!V35)*Split!V35-'Price Data'!V34-'Right Share Ratio'!V35*'Right Share Offer Price'!V35*Split!V35)/'Price Data'!V34</f>
        <v>6.9244085401038002E-3</v>
      </c>
    </row>
    <row r="36" spans="1:22">
      <c r="A36" s="166"/>
      <c r="B36" s="15" t="s">
        <v>22</v>
      </c>
      <c r="C36" s="7">
        <f>('Price Data'!C36*(1+'Stock Dividend'!C36+'Right Share Ratio'!C36)*Split!C36-'Price Data'!C35-'Right Share Ratio'!C36*'Right Share Offer Price'!C36*Split!C36)/'Price Data'!C35</f>
        <v>5.3880102979036532E-2</v>
      </c>
      <c r="D36" s="7">
        <f>('Price Data'!D36*(1+'Stock Dividend'!D36+'Right Share Ratio'!D36)*Split!D36-'Price Data'!D35-'Right Share Ratio'!D36*'Right Share Offer Price'!D36*Split!D36)/'Price Data'!D35</f>
        <v>3.3613445378151287E-2</v>
      </c>
      <c r="E36" s="7">
        <f>('Price Data'!E36*(1+'Stock Dividend'!E36+'Right Share Ratio'!E36)*Split!E36-'Price Data'!E35-'Right Share Ratio'!E36*'Right Share Offer Price'!E36*Split!E36)/'Price Data'!E35</f>
        <v>-9.6339113680154131E-2</v>
      </c>
      <c r="F36" s="7">
        <f>('Price Data'!F36*(1+'Stock Dividend'!F36+'Right Share Ratio'!F36)*Split!F36-'Price Data'!F35-'Right Share Ratio'!F36*'Right Share Offer Price'!F36*Split!F36)/'Price Data'!F35</f>
        <v>-0.12129380053908355</v>
      </c>
      <c r="G36" s="7">
        <f>('Price Data'!G36*(1+'Stock Dividend'!G36+'Right Share Ratio'!G36)*Split!G36-'Price Data'!G35-'Right Share Ratio'!G36*'Right Share Offer Price'!G36*Split!G36)/'Price Data'!G35</f>
        <v>-6.0240963855421686E-2</v>
      </c>
      <c r="H36" s="7">
        <f>('Price Data'!H36*(1+'Stock Dividend'!H36+'Right Share Ratio'!H36)*Split!H36-'Price Data'!H35-'Right Share Ratio'!H36*'Right Share Offer Price'!H36*Split!H36)/'Price Data'!H35</f>
        <v>-9.0277777777777901E-2</v>
      </c>
      <c r="I36" s="7">
        <f>('Price Data'!I36*(1+'Stock Dividend'!I36+'Right Share Ratio'!I36)*Split!I36-'Price Data'!I35-'Right Share Ratio'!I36*'Right Share Offer Price'!I36*Split!I36)/'Price Data'!I35</f>
        <v>9.0407177363699062E-2</v>
      </c>
      <c r="J36" s="7">
        <f>('Price Data'!J36*(1+'Stock Dividend'!J36+'Right Share Ratio'!J36)*Split!J36-'Price Data'!J35-'Right Share Ratio'!J36*'Right Share Offer Price'!J36*Split!J36)/'Price Data'!J35</f>
        <v>-6.749156355455567E-2</v>
      </c>
      <c r="K36" s="7">
        <f>('Price Data'!K36*(1+'Stock Dividend'!K36+'Right Share Ratio'!K36)*Split!K36-'Price Data'!K35-'Right Share Ratio'!K36*'Right Share Offer Price'!K36*Split!K36)/'Price Data'!K35</f>
        <v>-8.5357390700902036E-2</v>
      </c>
      <c r="L36" s="7">
        <f>('Price Data'!L36*(1+'Stock Dividend'!L36+'Right Share Ratio'!L36)*Split!L36-'Price Data'!L35-'Right Share Ratio'!L36*'Right Share Offer Price'!L36*Split!L36)/'Price Data'!L35</f>
        <v>-5.5555555555555497E-2</v>
      </c>
      <c r="M36" s="7">
        <f>('Price Data'!M36*(1+'Stock Dividend'!M36+'Right Share Ratio'!M36)*Split!M36-'Price Data'!M35-'Right Share Ratio'!M36*'Right Share Offer Price'!M36*Split!M36)/'Price Data'!M35</f>
        <v>-8.4917840375586848E-2</v>
      </c>
      <c r="N36" s="7">
        <f>('Price Data'!N36*(1+'Stock Dividend'!N36+'Right Share Ratio'!N36)*Split!N36-'Price Data'!N35-'Right Share Ratio'!N36*'Right Share Offer Price'!N36*Split!N36)/'Price Data'!N35</f>
        <v>-0.13200000000000009</v>
      </c>
      <c r="O36" s="7">
        <f>('Price Data'!O36*(1+'Stock Dividend'!O36+'Right Share Ratio'!O36)*Split!O36-'Price Data'!O35-'Right Share Ratio'!O36*'Right Share Offer Price'!O36*Split!O36)/'Price Data'!O35</f>
        <v>-5.216284987277358E-2</v>
      </c>
      <c r="P36" s="7">
        <f>('Price Data'!P36*(1+'Stock Dividend'!P36+'Right Share Ratio'!P36)*Split!P36-'Price Data'!P35-'Right Share Ratio'!P36*'Right Share Offer Price'!P36*Split!P36)/'Price Data'!P35</f>
        <v>-5.3000779423226896E-2</v>
      </c>
      <c r="Q36" s="7">
        <f>('Price Data'!Q36*(1+'Stock Dividend'!Q36+'Right Share Ratio'!Q36)*Split!Q36-'Price Data'!Q35-'Right Share Ratio'!Q36*'Right Share Offer Price'!Q36*Split!Q36)/'Price Data'!Q35</f>
        <v>-0.17497072980356446</v>
      </c>
      <c r="R36" s="7">
        <f>('Price Data'!R36*(1+'Stock Dividend'!R36+'Right Share Ratio'!R36)*Split!R36-'Price Data'!R35-'Right Share Ratio'!R36*'Right Share Offer Price'!R36*Split!R36)/'Price Data'!R35</f>
        <v>-0.13794288168348726</v>
      </c>
      <c r="S36" s="7">
        <f>('Price Data'!S36*(1+'Stock Dividend'!S36+'Right Share Ratio'!S36)*Split!S36-'Price Data'!S35-'Right Share Ratio'!S36*'Right Share Offer Price'!S36*Split!S36)/'Price Data'!S35</f>
        <v>-7.8660975664260654E-2</v>
      </c>
      <c r="T36" s="7">
        <f>('Price Data'!T36*(1+'Stock Dividend'!T36+'Right Share Ratio'!T36)*Split!T36-'Price Data'!T35-'Right Share Ratio'!T36*'Right Share Offer Price'!T36*Split!T36)/'Price Data'!T35</f>
        <v>-0.11504424778761067</v>
      </c>
      <c r="U36" s="7">
        <f>('Price Data'!U36*(1+'Stock Dividend'!U36+'Right Share Ratio'!U36)*Split!U36-'Price Data'!U35-'Right Share Ratio'!U36*'Right Share Offer Price'!U36*Split!U36)/'Price Data'!U35</f>
        <v>-0.21545454545454548</v>
      </c>
      <c r="V36" s="7">
        <f>('Price Data'!V36*(1+'Stock Dividend'!V36+'Right Share Ratio'!V36)*Split!V36-'Price Data'!V35-'Right Share Ratio'!V36*'Right Share Offer Price'!V36*Split!V36)/'Price Data'!V35</f>
        <v>-2.5214899713467083E-2</v>
      </c>
    </row>
    <row r="37" spans="1:22">
      <c r="A37" s="166"/>
      <c r="B37" s="15" t="s">
        <v>23</v>
      </c>
      <c r="C37" s="7">
        <f>('Price Data'!C37*(1+'Stock Dividend'!C37+'Right Share Ratio'!C37)*Split!C37-'Price Data'!C36-'Right Share Ratio'!C37*'Right Share Offer Price'!C37*Split!C37)/'Price Data'!C36</f>
        <v>1.7658349328215004E-2</v>
      </c>
      <c r="D37" s="7">
        <f>('Price Data'!D37*(1+'Stock Dividend'!D37+'Right Share Ratio'!D37)*Split!D37-'Price Data'!D36-'Right Share Ratio'!D37*'Right Share Offer Price'!D37*Split!D37)/'Price Data'!D36</f>
        <v>-0.2032520325203252</v>
      </c>
      <c r="E37" s="7">
        <f>('Price Data'!E37*(1+'Stock Dividend'!E37+'Right Share Ratio'!E37)*Split!E37-'Price Data'!E36-'Right Share Ratio'!E37*'Right Share Offer Price'!E37*Split!E37)/'Price Data'!E36</f>
        <v>-5.597014925373138E-2</v>
      </c>
      <c r="F37" s="7">
        <f>('Price Data'!F37*(1+'Stock Dividend'!F37+'Right Share Ratio'!F37)*Split!F37-'Price Data'!F36-'Right Share Ratio'!F37*'Right Share Offer Price'!F37*Split!F37)/'Price Data'!F36</f>
        <v>-2.7607361963190247E-2</v>
      </c>
      <c r="G37" s="7">
        <f>('Price Data'!G37*(1+'Stock Dividend'!G37+'Right Share Ratio'!G37)*Split!G37-'Price Data'!G36-'Right Share Ratio'!G37*'Right Share Offer Price'!G37*Split!G37)/'Price Data'!G36</f>
        <v>-2.3809523809523888E-2</v>
      </c>
      <c r="H37" s="7">
        <f>('Price Data'!H37*(1+'Stock Dividend'!H37+'Right Share Ratio'!H37)*Split!H37-'Price Data'!H36-'Right Share Ratio'!H37*'Right Share Offer Price'!H37*Split!H37)/'Price Data'!H36</f>
        <v>1.5267175572519122E-2</v>
      </c>
      <c r="I37" s="7">
        <f>('Price Data'!I37*(1+'Stock Dividend'!I37+'Right Share Ratio'!I37)*Split!I37-'Price Data'!I36-'Right Share Ratio'!I37*'Right Share Offer Price'!I37*Split!I37)/'Price Data'!I36</f>
        <v>-3.4177215189872914E-3</v>
      </c>
      <c r="J37" s="7">
        <f>('Price Data'!J37*(1+'Stock Dividend'!J37+'Right Share Ratio'!J37)*Split!J37-'Price Data'!J36-'Right Share Ratio'!J37*'Right Share Offer Price'!J37*Split!J37)/'Price Data'!J36</f>
        <v>-4.2219541616406332E-3</v>
      </c>
      <c r="K37" s="7">
        <f>('Price Data'!K37*(1+'Stock Dividend'!K37+'Right Share Ratio'!K37)*Split!K37-'Price Data'!K36-'Right Share Ratio'!K37*'Right Share Offer Price'!K37*Split!K37)/'Price Data'!K36</f>
        <v>4.5523520485583786E-3</v>
      </c>
      <c r="L37" s="7">
        <f>('Price Data'!L37*(1+'Stock Dividend'!L37+'Right Share Ratio'!L37)*Split!L37-'Price Data'!L36-'Right Share Ratio'!L37*'Right Share Offer Price'!L37*Split!L37)/'Price Data'!L36</f>
        <v>2.2257551669316353E-2</v>
      </c>
      <c r="M37" s="7">
        <f>('Price Data'!M37*(1+'Stock Dividend'!M37+'Right Share Ratio'!M37)*Split!M37-'Price Data'!M36-'Right Share Ratio'!M37*'Right Share Offer Price'!M37*Split!M37)/'Price Data'!M36</f>
        <v>0.11428204963765788</v>
      </c>
      <c r="N37" s="7">
        <f>('Price Data'!N37*(1+'Stock Dividend'!N37+'Right Share Ratio'!N37)*Split!N37-'Price Data'!N36-'Right Share Ratio'!N37*'Right Share Offer Price'!N37*Split!N37)/'Price Data'!N36</f>
        <v>4.1474654377880234E-2</v>
      </c>
      <c r="O37" s="7">
        <f>('Price Data'!O37*(1+'Stock Dividend'!O37+'Right Share Ratio'!O37)*Split!O37-'Price Data'!O36-'Right Share Ratio'!O37*'Right Share Offer Price'!O37*Split!O37)/'Price Data'!O36</f>
        <v>0.10827740492170017</v>
      </c>
      <c r="P37" s="7">
        <f>('Price Data'!P37*(1+'Stock Dividend'!P37+'Right Share Ratio'!P37)*Split!P37-'Price Data'!P36-'Right Share Ratio'!P37*'Right Share Offer Price'!P37*Split!P37)/'Price Data'!P36</f>
        <v>2.7983539094650251E-2</v>
      </c>
      <c r="Q37" s="7">
        <f>('Price Data'!Q37*(1+'Stock Dividend'!Q37+'Right Share Ratio'!Q37)*Split!Q37-'Price Data'!Q36-'Right Share Ratio'!Q37*'Right Share Offer Price'!Q37*Split!Q37)/'Price Data'!Q36</f>
        <v>0.21428571428571425</v>
      </c>
      <c r="R37" s="7">
        <f>('Price Data'!R37*(1+'Stock Dividend'!R37+'Right Share Ratio'!R37)*Split!R37-'Price Data'!R36-'Right Share Ratio'!R37*'Right Share Offer Price'!R37*Split!R37)/'Price Data'!R36</f>
        <v>0.13311413341304243</v>
      </c>
      <c r="S37" s="7">
        <f>('Price Data'!S37*(1+'Stock Dividend'!S37+'Right Share Ratio'!S37)*Split!S37-'Price Data'!S36-'Right Share Ratio'!S37*'Right Share Offer Price'!S37*Split!S37)/'Price Data'!S36</f>
        <v>0.11571951781513022</v>
      </c>
      <c r="T37" s="7">
        <f>('Price Data'!T37*(1+'Stock Dividend'!T37+'Right Share Ratio'!T37)*Split!T37-'Price Data'!T36-'Right Share Ratio'!T37*'Right Share Offer Price'!T37*Split!T37)/'Price Data'!T36</f>
        <v>-5.2500000000000033E-2</v>
      </c>
      <c r="U37" s="7">
        <f>('Price Data'!U37*(1+'Stock Dividend'!U37+'Right Share Ratio'!U37)*Split!U37-'Price Data'!U36-'Right Share Ratio'!U37*'Right Share Offer Price'!U37*Split!U37)/'Price Data'!U36</f>
        <v>0.14831981460023172</v>
      </c>
      <c r="V37" s="7">
        <f>('Price Data'!V37*(1+'Stock Dividend'!V37+'Right Share Ratio'!V37)*Split!V37-'Price Data'!V36-'Right Share Ratio'!V37*'Right Share Offer Price'!V37*Split!V37)/'Price Data'!V36</f>
        <v>2.6455026455026457E-2</v>
      </c>
    </row>
    <row r="38" spans="1:22">
      <c r="A38" s="166"/>
      <c r="B38" s="15" t="s">
        <v>24</v>
      </c>
      <c r="C38" s="7">
        <f>('Price Data'!C38*(1+'Stock Dividend'!C38+'Right Share Ratio'!C38)*Split!C38-'Price Data'!C37-'Right Share Ratio'!C38*'Right Share Offer Price'!C38*Split!C38)/'Price Data'!C37</f>
        <v>8.1855903432666841E-2</v>
      </c>
      <c r="D38" s="7">
        <f>('Price Data'!D38*(1+'Stock Dividend'!D38+'Right Share Ratio'!D38)*Split!D38-'Price Data'!D37-'Right Share Ratio'!D38*'Right Share Offer Price'!D38*Split!D38)/'Price Data'!D37</f>
        <v>6.1224489795918324E-2</v>
      </c>
      <c r="E38" s="7">
        <f>('Price Data'!E38*(1+'Stock Dividend'!E38+'Right Share Ratio'!E38)*Split!E38-'Price Data'!E37-'Right Share Ratio'!E38*'Right Share Offer Price'!E38*Split!E38)/'Price Data'!E37</f>
        <v>7.5663466967814785E-2</v>
      </c>
      <c r="F38" s="7">
        <f>('Price Data'!F38*(1+'Stock Dividend'!F38+'Right Share Ratio'!F38)*Split!F38-'Price Data'!F37-'Right Share Ratio'!F38*'Right Share Offer Price'!F38*Split!F38)/'Price Data'!F37</f>
        <v>0</v>
      </c>
      <c r="G38" s="7">
        <f>('Price Data'!G38*(1+'Stock Dividend'!G38+'Right Share Ratio'!G38)*Split!G38-'Price Data'!G37-'Right Share Ratio'!G38*'Right Share Offer Price'!G38*Split!G38)/'Price Data'!G37</f>
        <v>5.4409005628517935E-2</v>
      </c>
      <c r="H38" s="7">
        <f>('Price Data'!H38*(1+'Stock Dividend'!H38+'Right Share Ratio'!H38)*Split!H38-'Price Data'!H37-'Right Share Ratio'!H38*'Right Share Offer Price'!H38*Split!H38)/'Price Data'!H37</f>
        <v>-3.7593984962406013E-2</v>
      </c>
      <c r="I38" s="7">
        <f>('Price Data'!I38*(1+'Stock Dividend'!I38+'Right Share Ratio'!I38)*Split!I38-'Price Data'!I37-'Right Share Ratio'!I38*'Right Share Offer Price'!I38*Split!I38)/'Price Data'!I37</f>
        <v>8.192556839832342E-2</v>
      </c>
      <c r="J38" s="7">
        <f>('Price Data'!J38*(1+'Stock Dividend'!J38+'Right Share Ratio'!J38)*Split!J38-'Price Data'!J37-'Right Share Ratio'!J38*'Right Share Offer Price'!J38*Split!J38)/'Price Data'!J37</f>
        <v>-1.2719563900666229E-2</v>
      </c>
      <c r="K38" s="7">
        <f>('Price Data'!K38*(1+'Stock Dividend'!K38+'Right Share Ratio'!K38)*Split!K38-'Price Data'!K37-'Right Share Ratio'!K38*'Right Share Offer Price'!K38*Split!K38)/'Price Data'!K37</f>
        <v>-9.7432024169184325E-2</v>
      </c>
      <c r="L38" s="7">
        <f>('Price Data'!L38*(1+'Stock Dividend'!L38+'Right Share Ratio'!L38)*Split!L38-'Price Data'!L37-'Right Share Ratio'!L38*'Right Share Offer Price'!L38*Split!L38)/'Price Data'!L37</f>
        <v>-2.6438569206842857E-2</v>
      </c>
      <c r="M38" s="7">
        <f>('Price Data'!M38*(1+'Stock Dividend'!M38+'Right Share Ratio'!M38)*Split!M38-'Price Data'!M37-'Right Share Ratio'!M38*'Right Share Offer Price'!M38*Split!M38)/'Price Data'!M37</f>
        <v>-4.564028776978421E-2</v>
      </c>
      <c r="N38" s="7">
        <f>('Price Data'!N38*(1+'Stock Dividend'!N38+'Right Share Ratio'!N38)*Split!N38-'Price Data'!N37-'Right Share Ratio'!N38*'Right Share Offer Price'!N38*Split!N38)/'Price Data'!N37</f>
        <v>-7.8171091445427693E-2</v>
      </c>
      <c r="O38" s="7">
        <f>('Price Data'!O38*(1+'Stock Dividend'!O38+'Right Share Ratio'!O38)*Split!O38-'Price Data'!O37-'Right Share Ratio'!O38*'Right Share Offer Price'!O38*Split!O38)/'Price Data'!O37</f>
        <v>1.937828017763428E-2</v>
      </c>
      <c r="P38" s="7">
        <f>('Price Data'!P38*(1+'Stock Dividend'!P38+'Right Share Ratio'!P38)*Split!P38-'Price Data'!P37-'Right Share Ratio'!P38*'Right Share Offer Price'!P38*Split!P38)/'Price Data'!P37</f>
        <v>-2.8422738190552532E-2</v>
      </c>
      <c r="Q38" s="7">
        <f>('Price Data'!Q38*(1+'Stock Dividend'!Q38+'Right Share Ratio'!Q38)*Split!Q38-'Price Data'!Q37-'Right Share Ratio'!Q38*'Right Share Offer Price'!Q38*Split!Q38)/'Price Data'!Q37</f>
        <v>-7.7911959485781071E-2</v>
      </c>
      <c r="R38" s="7">
        <f>('Price Data'!R38*(1+'Stock Dividend'!R38+'Right Share Ratio'!R38)*Split!R38-'Price Data'!R37-'Right Share Ratio'!R38*'Right Share Offer Price'!R38*Split!R38)/'Price Data'!R37</f>
        <v>7.6939986810287972E-3</v>
      </c>
      <c r="S38" s="7">
        <f>('Price Data'!S38*(1+'Stock Dividend'!S38+'Right Share Ratio'!S38)*Split!S38-'Price Data'!S37-'Right Share Ratio'!S38*'Right Share Offer Price'!S38*Split!S38)/'Price Data'!S37</f>
        <v>3.6456521739130394E-2</v>
      </c>
      <c r="T38" s="7">
        <f>('Price Data'!T38*(1+'Stock Dividend'!T38+'Right Share Ratio'!T38)*Split!T38-'Price Data'!T37-'Right Share Ratio'!T38*'Right Share Offer Price'!T38*Split!T38)/'Price Data'!T37</f>
        <v>2.6385224274406709E-3</v>
      </c>
      <c r="U38" s="7">
        <f>('Price Data'!U38*(1+'Stock Dividend'!U38+'Right Share Ratio'!U38)*Split!U38-'Price Data'!U37-'Right Share Ratio'!U38*'Right Share Offer Price'!U38*Split!U38)/'Price Data'!U37</f>
        <v>-6.7608476286579108E-2</v>
      </c>
      <c r="V38" s="7">
        <f>('Price Data'!V38*(1+'Stock Dividend'!V38+'Right Share Ratio'!V38)*Split!V38-'Price Data'!V37-'Right Share Ratio'!V38*'Right Share Offer Price'!V38*Split!V38)/'Price Data'!V37</f>
        <v>2.2336769759450203E-2</v>
      </c>
    </row>
    <row r="39" spans="1:22">
      <c r="A39" s="166"/>
      <c r="B39" s="15" t="s">
        <v>25</v>
      </c>
      <c r="C39" s="7">
        <f>('Price Data'!C39*(1+'Stock Dividend'!C39+'Right Share Ratio'!C39)*Split!C39-'Price Data'!C38-'Right Share Ratio'!C39*'Right Share Offer Price'!C39*Split!C39)/'Price Data'!C38</f>
        <v>0.44456066945606693</v>
      </c>
      <c r="D39" s="7">
        <f>('Price Data'!D39*(1+'Stock Dividend'!D39+'Right Share Ratio'!D39)*Split!D39-'Price Data'!D38-'Right Share Ratio'!D39*'Right Share Offer Price'!D39*Split!D39)/'Price Data'!D38</f>
        <v>0.19230769230769229</v>
      </c>
      <c r="E39" s="7">
        <f>('Price Data'!E39*(1+'Stock Dividend'!E39+'Right Share Ratio'!E39)*Split!E39-'Price Data'!E38-'Right Share Ratio'!E39*'Right Share Offer Price'!E39*Split!E39)/'Price Data'!E38</f>
        <v>0.23989501312335959</v>
      </c>
      <c r="F39" s="7">
        <f>('Price Data'!F39*(1+'Stock Dividend'!F39+'Right Share Ratio'!F39)*Split!F39-'Price Data'!F38-'Right Share Ratio'!F39*'Right Share Offer Price'!F39*Split!F39)/'Price Data'!F38</f>
        <v>0.36593059936908512</v>
      </c>
      <c r="G39" s="7">
        <f>('Price Data'!G39*(1+'Stock Dividend'!G39+'Right Share Ratio'!G39)*Split!G39-'Price Data'!G38-'Right Share Ratio'!G39*'Right Share Offer Price'!G39*Split!G39)/'Price Data'!G38</f>
        <v>-0.1405693950177937</v>
      </c>
      <c r="H39" s="7">
        <f>('Price Data'!H39*(1+'Stock Dividend'!H39+'Right Share Ratio'!H39)*Split!H39-'Price Data'!H38-'Right Share Ratio'!H39*'Right Share Offer Price'!H39*Split!H39)/'Price Data'!H38</f>
        <v>1.5625000000000038E-2</v>
      </c>
      <c r="I39" s="7">
        <f>('Price Data'!I39*(1+'Stock Dividend'!I39+'Right Share Ratio'!I39)*Split!I39-'Price Data'!I38-'Right Share Ratio'!I39*'Right Share Offer Price'!I39*Split!I39)/'Price Data'!I38</f>
        <v>-0.18138060577600379</v>
      </c>
      <c r="J39" s="7">
        <f>('Price Data'!J39*(1+'Stock Dividend'!J39+'Right Share Ratio'!J39)*Split!J39-'Price Data'!J38-'Right Share Ratio'!J39*'Right Share Offer Price'!J39*Split!J39)/'Price Data'!J38</f>
        <v>-1.5337423312883436E-2</v>
      </c>
      <c r="K39" s="7">
        <f>('Price Data'!K39*(1+'Stock Dividend'!K39+'Right Share Ratio'!K39)*Split!K39-'Price Data'!K38-'Right Share Ratio'!K39*'Right Share Offer Price'!K39*Split!K39)/'Price Data'!K38</f>
        <v>0.68284518828451879</v>
      </c>
      <c r="L39" s="7">
        <f>('Price Data'!L39*(1+'Stock Dividend'!L39+'Right Share Ratio'!L39)*Split!L39-'Price Data'!L38-'Right Share Ratio'!L39*'Right Share Offer Price'!L39*Split!L39)/'Price Data'!L38</f>
        <v>0.13578274760383374</v>
      </c>
      <c r="M39" s="7">
        <f>('Price Data'!M39*(1+'Stock Dividend'!M39+'Right Share Ratio'!M39)*Split!M39-'Price Data'!M38-'Right Share Ratio'!M39*'Right Share Offer Price'!M39*Split!M39)/'Price Data'!M38</f>
        <v>4.0767096852008321E-2</v>
      </c>
      <c r="N39" s="7">
        <f>('Price Data'!N39*(1+'Stock Dividend'!N39+'Right Share Ratio'!N39)*Split!N39-'Price Data'!N38-'Right Share Ratio'!N39*'Right Share Offer Price'!N39*Split!N39)/'Price Data'!N38</f>
        <v>0.22079999999999994</v>
      </c>
      <c r="O39" s="7">
        <f>('Price Data'!O39*(1+'Stock Dividend'!O39+'Right Share Ratio'!O39)*Split!O39-'Price Data'!O38-'Right Share Ratio'!O39*'Right Share Offer Price'!O39*Split!O39)/'Price Data'!O38</f>
        <v>0.36237623762376237</v>
      </c>
      <c r="P39" s="7">
        <f>('Price Data'!P39*(1+'Stock Dividend'!P39+'Right Share Ratio'!P39)*Split!P39-'Price Data'!P38-'Right Share Ratio'!P39*'Right Share Offer Price'!P39*Split!P39)/'Price Data'!P38</f>
        <v>0.32880098887515458</v>
      </c>
      <c r="Q39" s="7">
        <f>('Price Data'!Q39*(1+'Stock Dividend'!Q39+'Right Share Ratio'!Q39)*Split!Q39-'Price Data'!Q38-'Right Share Ratio'!Q39*'Right Share Offer Price'!Q39*Split!Q39)/'Price Data'!Q38</f>
        <v>7.1820870299957748E-2</v>
      </c>
      <c r="R39" s="7">
        <f>('Price Data'!R39*(1+'Stock Dividend'!R39+'Right Share Ratio'!R39)*Split!R39-'Price Data'!R38-'Right Share Ratio'!R39*'Right Share Offer Price'!R39*Split!R39)/'Price Data'!R38</f>
        <v>-1.2347294938918054E-2</v>
      </c>
      <c r="S39" s="7">
        <f>('Price Data'!S39*(1+'Stock Dividend'!S39+'Right Share Ratio'!S39)*Split!S39-'Price Data'!S38-'Right Share Ratio'!S39*'Right Share Offer Price'!S39*Split!S39)/'Price Data'!S38</f>
        <v>1.5038697904650003E-2</v>
      </c>
      <c r="T39" s="7">
        <f>('Price Data'!T39*(1+'Stock Dividend'!T39+'Right Share Ratio'!T39)*Split!T39-'Price Data'!T38-'Right Share Ratio'!T39*'Right Share Offer Price'!T39*Split!T39)/'Price Data'!T38</f>
        <v>9.4736842105263189E-2</v>
      </c>
      <c r="U39" s="7">
        <f>('Price Data'!U39*(1+'Stock Dividend'!U39+'Right Share Ratio'!U39)*Split!U39-'Price Data'!U38-'Right Share Ratio'!U39*'Right Share Offer Price'!U39*Split!U39)/'Price Data'!U38</f>
        <v>-1.4069264069264191E-2</v>
      </c>
      <c r="V39" s="7">
        <f>('Price Data'!V39*(1+'Stock Dividend'!V39+'Right Share Ratio'!V39)*Split!V39-'Price Data'!V38-'Right Share Ratio'!V39*'Right Share Offer Price'!V39*Split!V39)/'Price Data'!V38</f>
        <v>8.8515406162465046E-2</v>
      </c>
    </row>
    <row r="40" spans="1:22">
      <c r="A40" s="166"/>
      <c r="B40" s="15" t="s">
        <v>26</v>
      </c>
      <c r="C40" s="7">
        <f>('Price Data'!C40*(1+'Stock Dividend'!C40+'Right Share Ratio'!C40)*Split!C40-'Price Data'!C39-'Right Share Ratio'!C40*'Right Share Offer Price'!C40*Split!C40)/'Price Data'!C39</f>
        <v>1.1103065411537555E-2</v>
      </c>
      <c r="D40" s="7">
        <f>('Price Data'!D40*(1+'Stock Dividend'!D40+'Right Share Ratio'!D40)*Split!D40-'Price Data'!D39-'Right Share Ratio'!D40*'Right Share Offer Price'!D40*Split!D40)/'Price Data'!D39</f>
        <v>-0.1290322580645161</v>
      </c>
      <c r="E40" s="7">
        <f>('Price Data'!E40*(1+'Stock Dividend'!E40+'Right Share Ratio'!E40)*Split!E40-'Price Data'!E39-'Right Share Ratio'!E40*'Right Share Offer Price'!E40*Split!E40)/'Price Data'!E39</f>
        <v>-0.1490262489415749</v>
      </c>
      <c r="F40" s="7">
        <f>('Price Data'!F40*(1+'Stock Dividend'!F40+'Right Share Ratio'!F40)*Split!F40-'Price Data'!F39-'Right Share Ratio'!F40*'Right Share Offer Price'!F40*Split!F40)/'Price Data'!F39</f>
        <v>-0.11085450346420317</v>
      </c>
      <c r="G40" s="7">
        <f>('Price Data'!G40*(1+'Stock Dividend'!G40+'Right Share Ratio'!G40)*Split!G40-'Price Data'!G39-'Right Share Ratio'!G40*'Right Share Offer Price'!G40*Split!G40)/'Price Data'!G39</f>
        <v>-0.20289855072463764</v>
      </c>
      <c r="H40" s="7">
        <f>('Price Data'!H40*(1+'Stock Dividend'!H40+'Right Share Ratio'!H40)*Split!H40-'Price Data'!H39-'Right Share Ratio'!H40*'Right Share Offer Price'!H40*Split!H40)/'Price Data'!H39</f>
        <v>-6.9230769230769304E-2</v>
      </c>
      <c r="I40" s="7">
        <f>('Price Data'!I40*(1+'Stock Dividend'!I40+'Right Share Ratio'!I40)*Split!I40-'Price Data'!I39-'Right Share Ratio'!I40*'Right Share Offer Price'!I40*Split!I40)/'Price Data'!I39</f>
        <v>0.1316506525168506</v>
      </c>
      <c r="J40" s="7">
        <f>('Price Data'!J40*(1+'Stock Dividend'!J40+'Right Share Ratio'!J40)*Split!J40-'Price Data'!J39-'Right Share Ratio'!J40*'Right Share Offer Price'!J40*Split!J40)/'Price Data'!J39</f>
        <v>2.1806853582554516E-2</v>
      </c>
      <c r="K40" s="7">
        <f>('Price Data'!K40*(1+'Stock Dividend'!K40+'Right Share Ratio'!K40)*Split!K40-'Price Data'!K39-'Right Share Ratio'!K40*'Right Share Offer Price'!K40*Split!K40)/'Price Data'!K39</f>
        <v>-8.2545997016409717E-2</v>
      </c>
      <c r="L40" s="7">
        <f>('Price Data'!L40*(1+'Stock Dividend'!L40+'Right Share Ratio'!L40)*Split!L40-'Price Data'!L39-'Right Share Ratio'!L40*'Right Share Offer Price'!L40*Split!L40)/'Price Data'!L39</f>
        <v>-7.0323488045007043E-2</v>
      </c>
      <c r="M40" s="7">
        <f>('Price Data'!M40*(1+'Stock Dividend'!M40+'Right Share Ratio'!M40)*Split!M40-'Price Data'!M39-'Right Share Ratio'!M40*'Right Share Offer Price'!M40*Split!M40)/'Price Data'!M39</f>
        <v>1.0951442809131916E-2</v>
      </c>
      <c r="N40" s="7">
        <f>('Price Data'!N40*(1+'Stock Dividend'!N40+'Right Share Ratio'!N40)*Split!N40-'Price Data'!N39-'Right Share Ratio'!N40*'Right Share Offer Price'!N40*Split!N40)/'Price Data'!N39</f>
        <v>-0.22542595019659234</v>
      </c>
      <c r="O40" s="7">
        <f>('Price Data'!O40*(1+'Stock Dividend'!O40+'Right Share Ratio'!O40)*Split!O40-'Price Data'!O39-'Right Share Ratio'!O40*'Right Share Offer Price'!O40*Split!O40)/'Price Data'!O39</f>
        <v>1.8023255813953455E-2</v>
      </c>
      <c r="P40" s="7">
        <f>('Price Data'!P40*(1+'Stock Dividend'!P40+'Right Share Ratio'!P40)*Split!P40-'Price Data'!P39-'Right Share Ratio'!P40*'Right Share Offer Price'!P40*Split!P40)/'Price Data'!P39</f>
        <v>0.10976744186046504</v>
      </c>
      <c r="Q40" s="7">
        <f>('Price Data'!Q40*(1+'Stock Dividend'!Q40+'Right Share Ratio'!Q40)*Split!Q40-'Price Data'!Q39-'Right Share Ratio'!Q40*'Right Share Offer Price'!Q40*Split!Q40)/'Price Data'!Q39</f>
        <v>-7.9490211535934829E-2</v>
      </c>
      <c r="R40" s="7">
        <f>('Price Data'!R40*(1+'Stock Dividend'!R40+'Right Share Ratio'!R40)*Split!R40-'Price Data'!R39-'Right Share Ratio'!R40*'Right Share Offer Price'!R40*Split!R40)/'Price Data'!R39</f>
        <v>2.1292574104342571E-2</v>
      </c>
      <c r="S40" s="7">
        <f>('Price Data'!S40*(1+'Stock Dividend'!S40+'Right Share Ratio'!S40)*Split!S40-'Price Data'!S39-'Right Share Ratio'!S40*'Right Share Offer Price'!S40*Split!S40)/'Price Data'!S39</f>
        <v>-1.1757655907757085E-2</v>
      </c>
      <c r="T40" s="7">
        <f>('Price Data'!T40*(1+'Stock Dividend'!T40+'Right Share Ratio'!T40)*Split!T40-'Price Data'!T39-'Right Share Ratio'!T40*'Right Share Offer Price'!T40*Split!T40)/'Price Data'!T39</f>
        <v>-0.16105769230769237</v>
      </c>
      <c r="U40" s="7">
        <f>('Price Data'!U40*(1+'Stock Dividend'!U40+'Right Share Ratio'!U40)*Split!U40-'Price Data'!U39-'Right Share Ratio'!U40*'Right Share Offer Price'!U40*Split!U40)/'Price Data'!U39</f>
        <v>3.0735455543359071E-2</v>
      </c>
      <c r="V40" s="7">
        <f>('Price Data'!V40*(1+'Stock Dividend'!V40+'Right Share Ratio'!V40)*Split!V40-'Price Data'!V39-'Right Share Ratio'!V40*'Right Share Offer Price'!V40*Split!V40)/'Price Data'!V39</f>
        <v>-7.9258878023674748E-2</v>
      </c>
    </row>
    <row r="41" spans="1:22">
      <c r="A41" s="166"/>
      <c r="B41" s="15" t="s">
        <v>15</v>
      </c>
      <c r="C41" s="7">
        <f>('Price Data'!C41*(1+'Stock Dividend'!C41+'Right Share Ratio'!C41)*Split!C41-'Price Data'!C40-'Right Share Ratio'!C41*'Right Share Offer Price'!C41*Split!C41)/'Price Data'!C40</f>
        <v>-4.7982812126999237E-2</v>
      </c>
      <c r="D41" s="7">
        <f>('Price Data'!D41*(1+'Stock Dividend'!D41+'Right Share Ratio'!D41)*Split!D41-'Price Data'!D40-'Right Share Ratio'!D41*'Right Share Offer Price'!D41*Split!D41)/'Price Data'!D40</f>
        <v>0.10185185185185182</v>
      </c>
      <c r="E41" s="7">
        <f>('Price Data'!E41*(1+'Stock Dividend'!E41+'Right Share Ratio'!E41)*Split!E41-'Price Data'!E40-'Right Share Ratio'!E41*'Right Share Offer Price'!E41*Split!E41)/'Price Data'!E40</f>
        <v>-5.7213930348258807E-2</v>
      </c>
      <c r="F41" s="7">
        <f>('Price Data'!F41*(1+'Stock Dividend'!F41+'Right Share Ratio'!F41)*Split!F41-'Price Data'!F40-'Right Share Ratio'!F41*'Right Share Offer Price'!F41*Split!F41)/'Price Data'!F40</f>
        <v>3.1168831168831242E-2</v>
      </c>
      <c r="G41" s="7">
        <f>('Price Data'!G41*(1+'Stock Dividend'!G41+'Right Share Ratio'!G41)*Split!G41-'Price Data'!G40-'Right Share Ratio'!G41*'Right Share Offer Price'!G41*Split!G41)/'Price Data'!G40</f>
        <v>-1.5584415584415621E-2</v>
      </c>
      <c r="H41" s="7">
        <f>('Price Data'!H41*(1+'Stock Dividend'!H41+'Right Share Ratio'!H41)*Split!H41-'Price Data'!H40-'Right Share Ratio'!H41*'Right Share Offer Price'!H41*Split!H41)/'Price Data'!H40</f>
        <v>-0.12947658402203846</v>
      </c>
      <c r="I41" s="7">
        <f>('Price Data'!I41*(1+'Stock Dividend'!I41+'Right Share Ratio'!I41)*Split!I41-'Price Data'!I40-'Right Share Ratio'!I41*'Right Share Offer Price'!I41*Split!I41)/'Price Data'!I40</f>
        <v>2.4204790267393191E-2</v>
      </c>
      <c r="J41" s="7">
        <f>('Price Data'!J41*(1+'Stock Dividend'!J41+'Right Share Ratio'!J41)*Split!J41-'Price Data'!J40-'Right Share Ratio'!J41*'Right Share Offer Price'!J41*Split!J41)/'Price Data'!J40</f>
        <v>-3.9634146341463415E-2</v>
      </c>
      <c r="K41" s="7">
        <f>('Price Data'!K41*(1+'Stock Dividend'!K41+'Right Share Ratio'!K41)*Split!K41-'Price Data'!K40-'Right Share Ratio'!K41*'Right Share Offer Price'!K41*Split!K41)/'Price Data'!K40</f>
        <v>-0.19783197831978319</v>
      </c>
      <c r="L41" s="7">
        <f>('Price Data'!L41*(1+'Stock Dividend'!L41+'Right Share Ratio'!L41)*Split!L41-'Price Data'!L40-'Right Share Ratio'!L41*'Right Share Offer Price'!L41*Split!L41)/'Price Data'!L40</f>
        <v>-4.6898638426626241E-2</v>
      </c>
      <c r="M41" s="7">
        <f>('Price Data'!M41*(1+'Stock Dividend'!M41+'Right Share Ratio'!M41)*Split!M41-'Price Data'!M40-'Right Share Ratio'!M41*'Right Share Offer Price'!M41*Split!M41)/'Price Data'!M40</f>
        <v>2.4405341892589041E-2</v>
      </c>
      <c r="N41" s="7">
        <f>('Price Data'!N41*(1+'Stock Dividend'!N41+'Right Share Ratio'!N41)*Split!N41-'Price Data'!N40-'Right Share Ratio'!N41*'Right Share Offer Price'!N41*Split!N41)/'Price Data'!N40</f>
        <v>-0.17258883248730969</v>
      </c>
      <c r="O41" s="7">
        <f>('Price Data'!O41*(1+'Stock Dividend'!O41+'Right Share Ratio'!O41)*Split!O41-'Price Data'!O40-'Right Share Ratio'!O41*'Right Share Offer Price'!O41*Split!O41)/'Price Data'!O40</f>
        <v>-0.10279840091376356</v>
      </c>
      <c r="P41" s="7">
        <f>('Price Data'!P41*(1+'Stock Dividend'!P41+'Right Share Ratio'!P41)*Split!P41-'Price Data'!P40-'Right Share Ratio'!P41*'Right Share Offer Price'!P41*Split!P41)/'Price Data'!P40</f>
        <v>-0.14473316568873976</v>
      </c>
      <c r="Q41" s="7">
        <f>('Price Data'!Q41*(1+'Stock Dividend'!Q41+'Right Share Ratio'!Q41)*Split!Q41-'Price Data'!Q40-'Right Share Ratio'!Q41*'Right Share Offer Price'!Q41*Split!Q41)/'Price Data'!Q40</f>
        <v>-4.3676848415643767E-2</v>
      </c>
      <c r="R41" s="7">
        <f>('Price Data'!R41*(1+'Stock Dividend'!R41+'Right Share Ratio'!R41)*Split!R41-'Price Data'!R40-'Right Share Ratio'!R41*'Right Share Offer Price'!R41*Split!R41)/'Price Data'!R40</f>
        <v>-1.0424326311691642E-2</v>
      </c>
      <c r="S41" s="7">
        <f>('Price Data'!S41*(1+'Stock Dividend'!S41+'Right Share Ratio'!S41)*Split!S41-'Price Data'!S40-'Right Share Ratio'!S41*'Right Share Offer Price'!S41*Split!S41)/'Price Data'!S40</f>
        <v>-2.9189754312598088E-2</v>
      </c>
      <c r="T41" s="7">
        <f>('Price Data'!T41*(1+'Stock Dividend'!T41+'Right Share Ratio'!T41)*Split!T41-'Price Data'!T40-'Right Share Ratio'!T41*'Right Share Offer Price'!T41*Split!T41)/'Price Data'!T40</f>
        <v>-7.163323782234958E-2</v>
      </c>
      <c r="U41" s="7">
        <f>('Price Data'!U41*(1+'Stock Dividend'!U41+'Right Share Ratio'!U41)*Split!U41-'Price Data'!U40-'Right Share Ratio'!U41*'Right Share Offer Price'!U41*Split!U41)/'Price Data'!U40</f>
        <v>-7.4547390841320546E-2</v>
      </c>
      <c r="V41" s="7">
        <f>('Price Data'!V41*(1+'Stock Dividend'!V41+'Right Share Ratio'!V41)*Split!V41-'Price Data'!V40-'Right Share Ratio'!V41*'Right Share Offer Price'!V41*Split!V41)/'Price Data'!V40</f>
        <v>-1.5651201788708838E-2</v>
      </c>
    </row>
    <row r="42" spans="1:22">
      <c r="A42" s="166"/>
      <c r="B42" s="15" t="s">
        <v>16</v>
      </c>
      <c r="C42" s="7">
        <f>('Price Data'!C42*(1+'Stock Dividend'!C42+'Right Share Ratio'!C42)*Split!C42-'Price Data'!C41-'Right Share Ratio'!C42*'Right Share Offer Price'!C42*Split!C42)/'Price Data'!C41</f>
        <v>-6.394182547642939E-2</v>
      </c>
      <c r="D42" s="7">
        <f>('Price Data'!D42*(1+'Stock Dividend'!D42+'Right Share Ratio'!D42)*Split!D42-'Price Data'!D41-'Right Share Ratio'!D42*'Right Share Offer Price'!D42*Split!D42)/'Price Data'!D41</f>
        <v>-7.5630252100840359E-2</v>
      </c>
      <c r="E42" s="7">
        <f>('Price Data'!E42*(1+'Stock Dividend'!E42+'Right Share Ratio'!E42)*Split!E42-'Price Data'!E41-'Right Share Ratio'!E42*'Right Share Offer Price'!E42*Split!E42)/'Price Data'!E41</f>
        <v>-4.7493403693931327E-3</v>
      </c>
      <c r="F42" s="7">
        <f>('Price Data'!F42*(1+'Stock Dividend'!F42+'Right Share Ratio'!F42)*Split!F42-'Price Data'!F41-'Right Share Ratio'!F42*'Right Share Offer Price'!F42*Split!F42)/'Price Data'!F41</f>
        <v>3.2745591939546528E-2</v>
      </c>
      <c r="G42" s="7">
        <f>('Price Data'!G42*(1+'Stock Dividend'!G42+'Right Share Ratio'!G42)*Split!G42-'Price Data'!G41-'Right Share Ratio'!G42*'Right Share Offer Price'!G42*Split!G42)/'Price Data'!G41</f>
        <v>0.13456464379947233</v>
      </c>
      <c r="H42" s="7">
        <f>('Price Data'!H42*(1+'Stock Dividend'!H42+'Right Share Ratio'!H42)*Split!H42-'Price Data'!H41-'Right Share Ratio'!H42*'Right Share Offer Price'!H42*Split!H42)/'Price Data'!H41</f>
        <v>8.8607594936708764E-2</v>
      </c>
      <c r="I42" s="7">
        <f>('Price Data'!I42*(1+'Stock Dividend'!I42+'Right Share Ratio'!I42)*Split!I42-'Price Data'!I41-'Right Share Ratio'!I42*'Right Share Offer Price'!I42*Split!I42)/'Price Data'!I41</f>
        <v>0.21269487750556809</v>
      </c>
      <c r="J42" s="7">
        <f>('Price Data'!J42*(1+'Stock Dividend'!J42+'Right Share Ratio'!J42)*Split!J42-'Price Data'!J41-'Right Share Ratio'!J42*'Right Share Offer Price'!J42*Split!J42)/'Price Data'!J41</f>
        <v>0.35873015873015873</v>
      </c>
      <c r="K42" s="7">
        <f>('Price Data'!K42*(1+'Stock Dividend'!K42+'Right Share Ratio'!K42)*Split!K42-'Price Data'!K41-'Right Share Ratio'!K42*'Right Share Offer Price'!K42*Split!K42)/'Price Data'!K41</f>
        <v>4.0540540540540543E-2</v>
      </c>
      <c r="L42" s="7">
        <f>('Price Data'!L42*(1+'Stock Dividend'!L42+'Right Share Ratio'!L42)*Split!L42-'Price Data'!L41-'Right Share Ratio'!L42*'Right Share Offer Price'!L42*Split!L42)/'Price Data'!L41</f>
        <v>2.3809523809523808E-2</v>
      </c>
      <c r="M42" s="7">
        <f>('Price Data'!M42*(1+'Stock Dividend'!M42+'Right Share Ratio'!M42)*Split!M42-'Price Data'!M41-'Right Share Ratio'!M42*'Right Share Offer Price'!M42*Split!M42)/'Price Data'!M41</f>
        <v>1.9694731659282475E-3</v>
      </c>
      <c r="N42" s="7">
        <f>('Price Data'!N42*(1+'Stock Dividend'!N42+'Right Share Ratio'!N42)*Split!N42-'Price Data'!N41-'Right Share Ratio'!N42*'Right Share Offer Price'!N42*Split!N42)/'Price Data'!N41</f>
        <v>0.27402862985685067</v>
      </c>
      <c r="O42" s="7">
        <f>('Price Data'!O42*(1+'Stock Dividend'!O42+'Right Share Ratio'!O42)*Split!O42-'Price Data'!O41-'Right Share Ratio'!O42*'Right Share Offer Price'!O42*Split!O42)/'Price Data'!O41</f>
        <v>1.7504774029280714E-2</v>
      </c>
      <c r="P42" s="7">
        <f>('Price Data'!P42*(1+'Stock Dividend'!P42+'Right Share Ratio'!P42)*Split!P42-'Price Data'!P41-'Right Share Ratio'!P42*'Right Share Offer Price'!P42*Split!P42)/'Price Data'!P41</f>
        <v>-6.8931721659588441E-2</v>
      </c>
      <c r="Q42" s="7">
        <f>('Price Data'!Q42*(1+'Stock Dividend'!Q42+'Right Share Ratio'!Q42)*Split!Q42-'Price Data'!Q41-'Right Share Ratio'!Q42*'Right Share Offer Price'!Q42*Split!Q42)/'Price Data'!Q41</f>
        <v>-4.820895522388053E-2</v>
      </c>
      <c r="R42" s="7">
        <f>('Price Data'!R42*(1+'Stock Dividend'!R42+'Right Share Ratio'!R42)*Split!R42-'Price Data'!R41-'Right Share Ratio'!R42*'Right Share Offer Price'!R42*Split!R42)/'Price Data'!R41</f>
        <v>1.953842119066344E-2</v>
      </c>
      <c r="S42" s="7">
        <f>('Price Data'!S42*(1+'Stock Dividend'!S42+'Right Share Ratio'!S42)*Split!S42-'Price Data'!S41-'Right Share Ratio'!S42*'Right Share Offer Price'!S42*Split!S42)/'Price Data'!S41</f>
        <v>-6.4248637704882566E-2</v>
      </c>
      <c r="T42" s="7">
        <f>('Price Data'!T42*(1+'Stock Dividend'!T42+'Right Share Ratio'!T42)*Split!T42-'Price Data'!T41-'Right Share Ratio'!T42*'Right Share Offer Price'!T42*Split!T42)/'Price Data'!T41</f>
        <v>0.1958333333333333</v>
      </c>
      <c r="U42" s="7">
        <f>('Price Data'!U42*(1+'Stock Dividend'!U42+'Right Share Ratio'!U42)*Split!U42-'Price Data'!U41-'Right Share Ratio'!U42*'Right Share Offer Price'!U42*Split!U42)/'Price Data'!U41</f>
        <v>-2.0713463751438566E-2</v>
      </c>
      <c r="V42" s="7">
        <f>('Price Data'!V42*(1+'Stock Dividend'!V42+'Right Share Ratio'!V42)*Split!V42-'Price Data'!V41-'Right Share Ratio'!V42*'Right Share Offer Price'!V42*Split!V42)/'Price Data'!V41</f>
        <v>8.5178875638841564E-2</v>
      </c>
    </row>
    <row r="43" spans="1:22">
      <c r="A43" s="166"/>
      <c r="B43" s="15" t="s">
        <v>17</v>
      </c>
      <c r="C43" s="7">
        <f>('Price Data'!C43*(1+'Stock Dividend'!C43+'Right Share Ratio'!C43)*Split!C43-'Price Data'!C42-'Right Share Ratio'!C43*'Right Share Offer Price'!C43*Split!C43)/'Price Data'!C42</f>
        <v>1.4465577283686021E-2</v>
      </c>
      <c r="D43" s="7">
        <f>('Price Data'!D43*(1+'Stock Dividend'!D43+'Right Share Ratio'!D43)*Split!D43-'Price Data'!D42-'Right Share Ratio'!D43*'Right Share Offer Price'!D43*Split!D43)/'Price Data'!D42</f>
        <v>-1.8181818181818118E-2</v>
      </c>
      <c r="E43" s="7">
        <f>('Price Data'!E43*(1+'Stock Dividend'!E43+'Right Share Ratio'!E43)*Split!E43-'Price Data'!E42-'Right Share Ratio'!E43*'Right Share Offer Price'!E43*Split!E43)/'Price Data'!E42</f>
        <v>-7.5821845174973479E-2</v>
      </c>
      <c r="F43" s="7">
        <f>('Price Data'!F43*(1+'Stock Dividend'!F43+'Right Share Ratio'!F43)*Split!F43-'Price Data'!F42-'Right Share Ratio'!F43*'Right Share Offer Price'!F43*Split!F43)/'Price Data'!F42</f>
        <v>-5.1219512195121983E-2</v>
      </c>
      <c r="G43" s="7">
        <f>('Price Data'!G43*(1+'Stock Dividend'!G43+'Right Share Ratio'!G43)*Split!G43-'Price Data'!G42-'Right Share Ratio'!G43*'Right Share Offer Price'!G43*Split!G43)/'Price Data'!G42</f>
        <v>-4.1860465116279007E-2</v>
      </c>
      <c r="H43" s="7">
        <f>('Price Data'!H43*(1+'Stock Dividend'!H43+'Right Share Ratio'!H43)*Split!H43-'Price Data'!H42-'Right Share Ratio'!H43*'Right Share Offer Price'!H43*Split!H43)/'Price Data'!H42</f>
        <v>-6.9767441860465074E-2</v>
      </c>
      <c r="I43" s="7">
        <f>('Price Data'!I43*(1+'Stock Dividend'!I43+'Right Share Ratio'!I43)*Split!I43-'Price Data'!I42-'Right Share Ratio'!I43*'Right Share Offer Price'!I43*Split!I43)/'Price Data'!I42</f>
        <v>-2.8058361391694726E-2</v>
      </c>
      <c r="J43" s="7">
        <f>('Price Data'!J43*(1+'Stock Dividend'!J43+'Right Share Ratio'!J43)*Split!J43-'Price Data'!J42-'Right Share Ratio'!J43*'Right Share Offer Price'!J43*Split!J43)/'Price Data'!J42</f>
        <v>5.280373831775706E-2</v>
      </c>
      <c r="K43" s="7">
        <f>('Price Data'!K43*(1+'Stock Dividend'!K43+'Right Share Ratio'!K43)*Split!K43-'Price Data'!K42-'Right Share Ratio'!K43*'Right Share Offer Price'!K43*Split!K43)/'Price Data'!K42</f>
        <v>2.5974025974025976E-2</v>
      </c>
      <c r="L43" s="7">
        <f>('Price Data'!L43*(1+'Stock Dividend'!L43+'Right Share Ratio'!L43)*Split!L43-'Price Data'!L42-'Right Share Ratio'!L43*'Right Share Offer Price'!L43*Split!L43)/'Price Data'!L42</f>
        <v>2.9457364341085361E-2</v>
      </c>
      <c r="M43" s="7">
        <f>('Price Data'!M43*(1+'Stock Dividend'!M43+'Right Share Ratio'!M43)*Split!M43-'Price Data'!M42-'Right Share Ratio'!M43*'Right Share Offer Price'!M43*Split!M43)/'Price Data'!M42</f>
        <v>-1.7690417690417837E-2</v>
      </c>
      <c r="N43" s="7">
        <f>('Price Data'!N43*(1+'Stock Dividend'!N43+'Right Share Ratio'!N43)*Split!N43-'Price Data'!N42-'Right Share Ratio'!N43*'Right Share Offer Price'!N43*Split!N43)/'Price Data'!N42</f>
        <v>-8.9887640449438116E-2</v>
      </c>
      <c r="O43" s="7">
        <f>('Price Data'!O43*(1+'Stock Dividend'!O43+'Right Share Ratio'!O43)*Split!O43-'Price Data'!O42-'Right Share Ratio'!O43*'Right Share Offer Price'!O43*Split!O43)/'Price Data'!O42</f>
        <v>1.0634970284641958E-2</v>
      </c>
      <c r="P43" s="7">
        <f>('Price Data'!P43*(1+'Stock Dividend'!P43+'Right Share Ratio'!P43)*Split!P43-'Price Data'!P42-'Right Share Ratio'!P43*'Right Share Offer Price'!P43*Split!P43)/'Price Data'!P42</f>
        <v>6.3157894736842503E-3</v>
      </c>
      <c r="Q43" s="7">
        <f>('Price Data'!Q43*(1+'Stock Dividend'!Q43+'Right Share Ratio'!Q43)*Split!Q43-'Price Data'!Q42-'Right Share Ratio'!Q43*'Right Share Offer Price'!Q43*Split!Q43)/'Price Data'!Q42</f>
        <v>-4.0771522659558143E-3</v>
      </c>
      <c r="R43" s="7">
        <f>('Price Data'!R43*(1+'Stock Dividend'!R43+'Right Share Ratio'!R43)*Split!R43-'Price Data'!R42-'Right Share Ratio'!R43*'Right Share Offer Price'!R43*Split!R43)/'Price Data'!R42</f>
        <v>-2.1307609860664444E-2</v>
      </c>
      <c r="S43" s="7">
        <f>('Price Data'!S43*(1+'Stock Dividend'!S43+'Right Share Ratio'!S43)*Split!S43-'Price Data'!S42-'Right Share Ratio'!S43*'Right Share Offer Price'!S43*Split!S43)/'Price Data'!S42</f>
        <v>1.242922248308161E-3</v>
      </c>
      <c r="T43" s="7">
        <f>('Price Data'!T43*(1+'Stock Dividend'!T43+'Right Share Ratio'!T43)*Split!T43-'Price Data'!T42-'Right Share Ratio'!T43*'Right Share Offer Price'!T43*Split!T43)/'Price Data'!T42</f>
        <v>-6.7750677506775075E-2</v>
      </c>
      <c r="U43" s="7">
        <f>('Price Data'!U43*(1+'Stock Dividend'!U43+'Right Share Ratio'!U43)*Split!U43-'Price Data'!U42-'Right Share Ratio'!U43*'Right Share Offer Price'!U43*Split!U43)/'Price Data'!U42</f>
        <v>1.1750881316099711E-3</v>
      </c>
      <c r="V43" s="7">
        <f>('Price Data'!V43*(1+'Stock Dividend'!V43+'Right Share Ratio'!V43)*Split!V43-'Price Data'!V42-'Right Share Ratio'!V43*'Right Share Offer Price'!V43*Split!V43)/'Price Data'!V42</f>
        <v>-0.10308738880167446</v>
      </c>
    </row>
    <row r="44" spans="1:22">
      <c r="A44" s="167">
        <v>2025</v>
      </c>
      <c r="B44" s="16" t="s">
        <v>18</v>
      </c>
      <c r="C44" s="7">
        <f>('Price Data'!C44*(1+'Stock Dividend'!C44+'Right Share Ratio'!C44)*Split!C44-'Price Data'!C43-'Right Share Ratio'!C44*'Right Share Offer Price'!C44*Split!C44)/'Price Data'!C43</f>
        <v>5.7301293900184895E-2</v>
      </c>
      <c r="D44" s="7">
        <f>('Price Data'!D44*(1+'Stock Dividend'!D44+'Right Share Ratio'!D44)*Split!D44-'Price Data'!D43-'Right Share Ratio'!D44*'Right Share Offer Price'!D44*Split!D44)/'Price Data'!D43</f>
        <v>-4.6296296296296294E-2</v>
      </c>
      <c r="E44" s="7">
        <f>('Price Data'!E44*(1+'Stock Dividend'!E44+'Right Share Ratio'!E44)*Split!E44-'Price Data'!E43-'Right Share Ratio'!E44*'Right Share Offer Price'!E44*Split!E44)/'Price Data'!E43</f>
        <v>-6.5404475043029292E-2</v>
      </c>
      <c r="F44" s="7">
        <f>('Price Data'!F44*(1+'Stock Dividend'!F44+'Right Share Ratio'!F44)*Split!F44-'Price Data'!F43-'Right Share Ratio'!F44*'Right Share Offer Price'!F44*Split!F44)/'Price Data'!F43</f>
        <v>-9.2544987146529603E-2</v>
      </c>
      <c r="G44" s="7">
        <f>('Price Data'!G44*(1+'Stock Dividend'!G44+'Right Share Ratio'!G44)*Split!G44-'Price Data'!G43-'Right Share Ratio'!G44*'Right Share Offer Price'!G44*Split!G44)/'Price Data'!G43</f>
        <v>-5.3398058252427251E-2</v>
      </c>
      <c r="H44" s="7">
        <f>('Price Data'!H44*(1+'Stock Dividend'!H44+'Right Share Ratio'!H44)*Split!H44-'Price Data'!H43-'Right Share Ratio'!H44*'Right Share Offer Price'!H44*Split!H44)/'Price Data'!H43</f>
        <v>0</v>
      </c>
      <c r="I44" s="7">
        <f>('Price Data'!I44*(1+'Stock Dividend'!I44+'Right Share Ratio'!I44)*Split!I44-'Price Data'!I43-'Right Share Ratio'!I44*'Right Share Offer Price'!I44*Split!I44)/'Price Data'!I43</f>
        <v>-2.4249422632794393E-2</v>
      </c>
      <c r="J44" s="7">
        <f>('Price Data'!J44*(1+'Stock Dividend'!J44+'Right Share Ratio'!J44)*Split!J44-'Price Data'!J43-'Right Share Ratio'!J44*'Right Share Offer Price'!J44*Split!J44)/'Price Data'!J43</f>
        <v>-0.14824678206835332</v>
      </c>
      <c r="K44" s="7">
        <f>('Price Data'!K44*(1+'Stock Dividend'!K44+'Right Share Ratio'!K44)*Split!K44-'Price Data'!K43-'Right Share Ratio'!K44*'Right Share Offer Price'!K44*Split!K44)/'Price Data'!K43</f>
        <v>-2.7215189873417794E-2</v>
      </c>
      <c r="L44" s="7">
        <f>('Price Data'!L44*(1+'Stock Dividend'!L44+'Right Share Ratio'!L44)*Split!L44-'Price Data'!L43-'Right Share Ratio'!L44*'Right Share Offer Price'!L44*Split!L44)/'Price Data'!L43</f>
        <v>1.0542168674698623E-2</v>
      </c>
      <c r="M44" s="7">
        <f>('Price Data'!M44*(1+'Stock Dividend'!M44+'Right Share Ratio'!M44)*Split!M44-'Price Data'!M43-'Right Share Ratio'!M44*'Right Share Offer Price'!M44*Split!M44)/'Price Data'!M43</f>
        <v>7.5037518759380759E-3</v>
      </c>
      <c r="N44" s="7">
        <f>('Price Data'!N44*(1+'Stock Dividend'!N44+'Right Share Ratio'!N44)*Split!N44-'Price Data'!N43-'Right Share Ratio'!N44*'Right Share Offer Price'!N44*Split!N44)/'Price Data'!N43</f>
        <v>-1.940035273368609E-2</v>
      </c>
      <c r="O44" s="7">
        <f>('Price Data'!O44*(1+'Stock Dividend'!O44+'Right Share Ratio'!O44)*Split!O44-'Price Data'!O43-'Right Share Ratio'!O44*'Right Share Offer Price'!O44*Split!O44)/'Price Data'!O43</f>
        <v>3.8068709377901438E-2</v>
      </c>
      <c r="P44" s="7">
        <f>('Price Data'!P44*(1+'Stock Dividend'!P44+'Right Share Ratio'!P44)*Split!P44-'Price Data'!P43-'Right Share Ratio'!P44*'Right Share Offer Price'!P44*Split!P44)/'Price Data'!P43</f>
        <v>3.8354253835424191E-3</v>
      </c>
      <c r="Q44" s="7">
        <f>('Price Data'!Q44*(1+'Stock Dividend'!Q44+'Right Share Ratio'!Q44)*Split!Q44-'Price Data'!Q43-'Right Share Ratio'!Q44*'Right Share Offer Price'!Q44*Split!Q44)/'Price Data'!Q43</f>
        <v>-0.21382459455203906</v>
      </c>
      <c r="R44" s="7">
        <f>('Price Data'!R44*(1+'Stock Dividend'!R44+'Right Share Ratio'!R44)*Split!R44-'Price Data'!R43-'Right Share Ratio'!R44*'Right Share Offer Price'!R44*Split!R44)/'Price Data'!R43</f>
        <v>1.6777641492903332E-2</v>
      </c>
      <c r="S44" s="7">
        <f>('Price Data'!S44*(1+'Stock Dividend'!S44+'Right Share Ratio'!S44)*Split!S44-'Price Data'!S43-'Right Share Ratio'!S44*'Right Share Offer Price'!S44*Split!S44)/'Price Data'!S43</f>
        <v>-6.3287356321839128E-2</v>
      </c>
      <c r="T44" s="7">
        <f>('Price Data'!T44*(1+'Stock Dividend'!T44+'Right Share Ratio'!T44)*Split!T44-'Price Data'!T43-'Right Share Ratio'!T44*'Right Share Offer Price'!T44*Split!T44)/'Price Data'!T43</f>
        <v>-6.6860465116278994E-2</v>
      </c>
      <c r="U44" s="7">
        <f>('Price Data'!U44*(1+'Stock Dividend'!U44+'Right Share Ratio'!U44)*Split!U44-'Price Data'!U43-'Right Share Ratio'!U44*'Right Share Offer Price'!U44*Split!U44)/'Price Data'!U43</f>
        <v>5.9859154929577399E-2</v>
      </c>
      <c r="V44" s="7">
        <f>('Price Data'!V44*(1+'Stock Dividend'!V44+'Right Share Ratio'!V44)*Split!V44-'Price Data'!V43-'Right Share Ratio'!V44*'Right Share Offer Price'!V44*Split!V44)/'Price Data'!V43</f>
        <v>1.8669778296382663E-2</v>
      </c>
    </row>
    <row r="45" spans="1:22">
      <c r="A45" s="167"/>
      <c r="B45" s="16" t="s">
        <v>19</v>
      </c>
      <c r="C45" s="7">
        <f>('Price Data'!C45*(1+'Stock Dividend'!C45+'Right Share Ratio'!C45)*Split!C45-'Price Data'!C44-'Right Share Ratio'!C45*'Right Share Offer Price'!C45*Split!C45)/'Price Data'!C44</f>
        <v>9.7402597402597539E-3</v>
      </c>
      <c r="D45" s="7">
        <f>('Price Data'!D45*(1+'Stock Dividend'!D45+'Right Share Ratio'!D45)*Split!D45-'Price Data'!D44-'Right Share Ratio'!D45*'Right Share Offer Price'!D45*Split!D45)/'Price Data'!D44</f>
        <v>0</v>
      </c>
      <c r="E45" s="7">
        <f>('Price Data'!E45*(1+'Stock Dividend'!E45+'Right Share Ratio'!E45)*Split!E45-'Price Data'!E44-'Right Share Ratio'!E45*'Right Share Offer Price'!E45*Split!E45)/'Price Data'!E44</f>
        <v>5.8317986494782037E-2</v>
      </c>
      <c r="F45" s="7">
        <f>('Price Data'!F45*(1+'Stock Dividend'!F45+'Right Share Ratio'!F45)*Split!F45-'Price Data'!F44-'Right Share Ratio'!F45*'Right Share Offer Price'!F45*Split!F45)/'Price Data'!F44</f>
        <v>5.0991501416430718E-2</v>
      </c>
      <c r="G45" s="7">
        <f>('Price Data'!G45*(1+'Stock Dividend'!G45+'Right Share Ratio'!G45)*Split!G45-'Price Data'!G44-'Right Share Ratio'!G45*'Right Share Offer Price'!G45*Split!G45)/'Price Data'!G44</f>
        <v>-3.589743589743586E-2</v>
      </c>
      <c r="H45" s="7">
        <f>('Price Data'!H45*(1+'Stock Dividend'!H45+'Right Share Ratio'!H45)*Split!H45-'Price Data'!H44-'Right Share Ratio'!H45*'Right Share Offer Price'!H45*Split!H45)/'Price Data'!H44</f>
        <v>-4.0625000000000022E-2</v>
      </c>
      <c r="I45" s="7">
        <f>('Price Data'!I45*(1+'Stock Dividend'!I45+'Right Share Ratio'!I45)*Split!I45-'Price Data'!I44-'Right Share Ratio'!I45*'Right Share Offer Price'!I45*Split!I45)/'Price Data'!I44</f>
        <v>-1.1834319526626547E-3</v>
      </c>
      <c r="J45" s="7">
        <f>('Price Data'!J45*(1+'Stock Dividend'!J45+'Right Share Ratio'!J45)*Split!J45-'Price Data'!J44-'Right Share Ratio'!J45*'Right Share Offer Price'!J45*Split!J45)/'Price Data'!J44</f>
        <v>4.6899426784784036E-3</v>
      </c>
      <c r="K45" s="7">
        <f>('Price Data'!K45*(1+'Stock Dividend'!K45+'Right Share Ratio'!K45)*Split!K45-'Price Data'!K44-'Right Share Ratio'!K45*'Right Share Offer Price'!K45*Split!K45)/'Price Data'!K44</f>
        <v>-5.009759271307735E-2</v>
      </c>
      <c r="L45" s="7">
        <f>('Price Data'!L45*(1+'Stock Dividend'!L45+'Right Share Ratio'!L45)*Split!L45-'Price Data'!L44-'Right Share Ratio'!L45*'Right Share Offer Price'!L45*Split!L45)/'Price Data'!L44</f>
        <v>-2.9806259314454344E-3</v>
      </c>
      <c r="M45" s="7">
        <f>('Price Data'!M45*(1+'Stock Dividend'!M45+'Right Share Ratio'!M45)*Split!M45-'Price Data'!M44-'Right Share Ratio'!M45*'Right Share Offer Price'!M45*Split!M45)/'Price Data'!M44</f>
        <v>8.9374379344587737E-3</v>
      </c>
      <c r="N45" s="7">
        <f>('Price Data'!N45*(1+'Stock Dividend'!N45+'Right Share Ratio'!N45)*Split!N45-'Price Data'!N44-'Right Share Ratio'!N45*'Right Share Offer Price'!N45*Split!N45)/'Price Data'!N44</f>
        <v>-4.136690647482022E-2</v>
      </c>
      <c r="O45" s="7">
        <f>('Price Data'!O45*(1+'Stock Dividend'!O45+'Right Share Ratio'!O45)*Split!O45-'Price Data'!O44-'Right Share Ratio'!O45*'Right Share Offer Price'!O45*Split!O45)/'Price Data'!O44</f>
        <v>-2.1466905187835388E-2</v>
      </c>
      <c r="P45" s="7">
        <f>('Price Data'!P45*(1+'Stock Dividend'!P45+'Right Share Ratio'!P45)*Split!P45-'Price Data'!P44-'Right Share Ratio'!P45*'Right Share Offer Price'!P45*Split!P45)/'Price Data'!P44</f>
        <v>1.8756512678013319E-2</v>
      </c>
      <c r="Q45" s="7">
        <f>('Price Data'!Q45*(1+'Stock Dividend'!Q45+'Right Share Ratio'!Q45)*Split!Q45-'Price Data'!Q44-'Right Share Ratio'!Q45*'Right Share Offer Price'!Q45*Split!Q45)/'Price Data'!Q44</f>
        <v>1.8025235329461247E-2</v>
      </c>
      <c r="R45" s="7">
        <f>('Price Data'!R45*(1+'Stock Dividend'!R45+'Right Share Ratio'!R45)*Split!R45-'Price Data'!R44-'Right Share Ratio'!R45*'Right Share Offer Price'!R45*Split!R45)/'Price Data'!R44</f>
        <v>2.1713842574641373E-2</v>
      </c>
      <c r="S45" s="7">
        <f>('Price Data'!S45*(1+'Stock Dividend'!S45+'Right Share Ratio'!S45)*Split!S45-'Price Data'!S44-'Right Share Ratio'!S45*'Right Share Offer Price'!S45*Split!S45)/'Price Data'!S44</f>
        <v>-1.8357179669668867E-2</v>
      </c>
      <c r="T45" s="7">
        <f>('Price Data'!T45*(1+'Stock Dividend'!T45+'Right Share Ratio'!T45)*Split!T45-'Price Data'!T44-'Right Share Ratio'!T45*'Right Share Offer Price'!T45*Split!T45)/'Price Data'!T44</f>
        <v>0.27102803738317743</v>
      </c>
      <c r="U45" s="7">
        <f>('Price Data'!U45*(1+'Stock Dividend'!U45+'Right Share Ratio'!U45)*Split!U45-'Price Data'!U44-'Right Share Ratio'!U45*'Right Share Offer Price'!U45*Split!U45)/'Price Data'!U44</f>
        <v>3.7652270210409809E-2</v>
      </c>
      <c r="V45" s="7">
        <f>('Price Data'!V45*(1+'Stock Dividend'!V45+'Right Share Ratio'!V45)*Split!V45-'Price Data'!V44-'Right Share Ratio'!V45*'Right Share Offer Price'!V45*Split!V45)/'Price Data'!V44</f>
        <v>4.0091638029783336E-3</v>
      </c>
    </row>
    <row r="46" spans="1:22">
      <c r="A46" s="167"/>
      <c r="B46" s="16" t="s">
        <v>20</v>
      </c>
      <c r="C46" s="7">
        <f>('Price Data'!C46*(1+'Stock Dividend'!C46+'Right Share Ratio'!C46)*Split!C46-'Price Data'!C45-'Right Share Ratio'!C46*'Right Share Offer Price'!C46*Split!C46)/'Price Data'!C45</f>
        <v>-2.6960178085579923E-2</v>
      </c>
      <c r="D46" s="7">
        <f>('Price Data'!D46*(1+'Stock Dividend'!D46+'Right Share Ratio'!D46)*Split!D46-'Price Data'!D45-'Right Share Ratio'!D46*'Right Share Offer Price'!D46*Split!D46)/'Price Data'!D45</f>
        <v>5.825242718446598E-2</v>
      </c>
      <c r="E46" s="7">
        <f>('Price Data'!E46*(1+'Stock Dividend'!E46+'Right Share Ratio'!E46)*Split!E46-'Price Data'!E45-'Right Share Ratio'!E46*'Right Share Offer Price'!E46*Split!E46)/'Price Data'!E45</f>
        <v>-6.0904872389791025E-2</v>
      </c>
      <c r="F46" s="7">
        <f>('Price Data'!F46*(1+'Stock Dividend'!F46+'Right Share Ratio'!F46)*Split!F46-'Price Data'!F45-'Right Share Ratio'!F46*'Right Share Offer Price'!F46*Split!F46)/'Price Data'!F45</f>
        <v>-2.6954177897574122E-2</v>
      </c>
      <c r="G46" s="7">
        <f>('Price Data'!G46*(1+'Stock Dividend'!G46+'Right Share Ratio'!G46)*Split!G46-'Price Data'!G45-'Right Share Ratio'!G46*'Right Share Offer Price'!G46*Split!G46)/'Price Data'!G45</f>
        <v>2.3936170212765919E-2</v>
      </c>
      <c r="H46" s="7">
        <f>('Price Data'!H46*(1+'Stock Dividend'!H46+'Right Share Ratio'!H46)*Split!H46-'Price Data'!H45-'Right Share Ratio'!H46*'Right Share Offer Price'!H46*Split!H46)/'Price Data'!H45</f>
        <v>-2.280130293159607E-2</v>
      </c>
      <c r="I46" s="7">
        <f>('Price Data'!I46*(1+'Stock Dividend'!I46+'Right Share Ratio'!I46)*Split!I46-'Price Data'!I45-'Right Share Ratio'!I46*'Right Share Offer Price'!I46*Split!I46)/'Price Data'!I45</f>
        <v>-7.1090047393365932E-3</v>
      </c>
      <c r="J46" s="7">
        <f>('Price Data'!J46*(1+'Stock Dividend'!J46+'Right Share Ratio'!J46)*Split!J46-'Price Data'!J45-'Right Share Ratio'!J46*'Right Share Offer Price'!J46*Split!J46)/'Price Data'!J45</f>
        <v>1.0373443983402489E-2</v>
      </c>
      <c r="K46" s="7">
        <f>('Price Data'!K46*(1+'Stock Dividend'!K46+'Right Share Ratio'!K46)*Split!K46-'Price Data'!K45-'Right Share Ratio'!K46*'Right Share Offer Price'!K46*Split!K46)/'Price Data'!K45</f>
        <v>8.2191780821917037E-3</v>
      </c>
      <c r="L46" s="7">
        <f>('Price Data'!L46*(1+'Stock Dividend'!L46+'Right Share Ratio'!L46)*Split!L46-'Price Data'!L45-'Right Share Ratio'!L46*'Right Share Offer Price'!L46*Split!L46)/'Price Data'!L45</f>
        <v>-5.979073243647319E-3</v>
      </c>
      <c r="M46" s="7">
        <f>('Price Data'!M46*(1+'Stock Dividend'!M46+'Right Share Ratio'!M46)*Split!M46-'Price Data'!M45-'Right Share Ratio'!M46*'Right Share Offer Price'!M46*Split!M46)/'Price Data'!M45</f>
        <v>1.8208661417322882E-2</v>
      </c>
      <c r="N46" s="7">
        <f>('Price Data'!N46*(1+'Stock Dividend'!N46+'Right Share Ratio'!N46)*Split!N46-'Price Data'!N45-'Right Share Ratio'!N46*'Right Share Offer Price'!N46*Split!N46)/'Price Data'!N45</f>
        <v>-3.1894934333958645E-2</v>
      </c>
      <c r="O46" s="7">
        <f>('Price Data'!O46*(1+'Stock Dividend'!O46+'Right Share Ratio'!O46)*Split!O46-'Price Data'!O45-'Right Share Ratio'!O46*'Right Share Offer Price'!O46*Split!O46)/'Price Data'!O45</f>
        <v>-1.9195612431444277E-2</v>
      </c>
      <c r="P46" s="7">
        <f>('Price Data'!P46*(1+'Stock Dividend'!P46+'Right Share Ratio'!P46)*Split!P46-'Price Data'!P45-'Right Share Ratio'!P46*'Right Share Offer Price'!P46*Split!P46)/'Price Data'!P45</f>
        <v>-1.9093078758949958E-2</v>
      </c>
      <c r="Q46" s="7">
        <f>('Price Data'!Q46*(1+'Stock Dividend'!Q46+'Right Share Ratio'!Q46)*Split!Q46-'Price Data'!Q45-'Right Share Ratio'!Q46*'Right Share Offer Price'!Q46*Split!Q46)/'Price Data'!Q45</f>
        <v>-1.534526854219951E-2</v>
      </c>
      <c r="R46" s="7">
        <f>('Price Data'!R46*(1+'Stock Dividend'!R46+'Right Share Ratio'!R46)*Split!R46-'Price Data'!R45-'Right Share Ratio'!R46*'Right Share Offer Price'!R46*Split!R46)/'Price Data'!R45</f>
        <v>2.7113641155386961E-2</v>
      </c>
      <c r="S46" s="7">
        <f>('Price Data'!S46*(1+'Stock Dividend'!S46+'Right Share Ratio'!S46)*Split!S46-'Price Data'!S45-'Right Share Ratio'!S46*'Right Share Offer Price'!S46*Split!S46)/'Price Data'!S45</f>
        <v>-3.4525863146578642E-2</v>
      </c>
      <c r="T46" s="7">
        <f>('Price Data'!T46*(1+'Stock Dividend'!T46+'Right Share Ratio'!T46)*Split!T46-'Price Data'!T45-'Right Share Ratio'!T46*'Right Share Offer Price'!T46*Split!T46)/'Price Data'!T45</f>
        <v>9.8039215686274522E-2</v>
      </c>
      <c r="U46" s="7">
        <f>('Price Data'!U46*(1+'Stock Dividend'!U46+'Right Share Ratio'!U46)*Split!U46-'Price Data'!U45-'Right Share Ratio'!U46*'Right Share Offer Price'!U46*Split!U46)/'Price Data'!U45</f>
        <v>-0.10352187833511209</v>
      </c>
      <c r="V46" s="7">
        <f>('Price Data'!V46*(1+'Stock Dividend'!V46+'Right Share Ratio'!V46)*Split!V46-'Price Data'!V45-'Right Share Ratio'!V46*'Right Share Offer Price'!V46*Split!V46)/'Price Data'!V45</f>
        <v>1.1409013120364439E-3</v>
      </c>
    </row>
    <row r="47" spans="1:22">
      <c r="A47" s="167"/>
      <c r="B47" s="16" t="s">
        <v>21</v>
      </c>
      <c r="C47" s="7">
        <f>('Price Data'!C47*(1+'Stock Dividend'!C47+'Right Share Ratio'!C47)*Split!C47-'Price Data'!C46-'Right Share Ratio'!C47*'Right Share Offer Price'!C47*Split!C47)/'Price Data'!C46</f>
        <v>-2.541942043721403E-2</v>
      </c>
      <c r="D47" s="7">
        <f>('Price Data'!D47*(1+'Stock Dividend'!D47+'Right Share Ratio'!D47)*Split!D47-'Price Data'!D46-'Right Share Ratio'!D47*'Right Share Offer Price'!D47*Split!D47)/'Price Data'!D46</f>
        <v>-1.8348623853211107E-2</v>
      </c>
      <c r="E47" s="7">
        <f>('Price Data'!E47*(1+'Stock Dividend'!E47+'Right Share Ratio'!E47)*Split!E47-'Price Data'!E46-'Right Share Ratio'!E47*'Right Share Offer Price'!E47*Split!E47)/'Price Data'!E46</f>
        <v>-4.6942557134033447E-2</v>
      </c>
      <c r="F47" s="7">
        <f>('Price Data'!F47*(1+'Stock Dividend'!F47+'Right Share Ratio'!F47)*Split!F47-'Price Data'!F46-'Right Share Ratio'!F47*'Right Share Offer Price'!F47*Split!F47)/'Price Data'!F46</f>
        <v>-6.0941828254847723E-2</v>
      </c>
      <c r="G47" s="7">
        <f>('Price Data'!G47*(1+'Stock Dividend'!G47+'Right Share Ratio'!G47)*Split!G47-'Price Data'!G46-'Right Share Ratio'!G47*'Right Share Offer Price'!G47*Split!G47)/'Price Data'!G46</f>
        <v>-9.6103896103896178E-2</v>
      </c>
      <c r="H47" s="7">
        <f>('Price Data'!H47*(1+'Stock Dividend'!H47+'Right Share Ratio'!H47)*Split!H47-'Price Data'!H46-'Right Share Ratio'!H47*'Right Share Offer Price'!H47*Split!H47)/'Price Data'!H46</f>
        <v>3.9999999999999973E-2</v>
      </c>
      <c r="I47" s="7">
        <f>('Price Data'!I47*(1+'Stock Dividend'!I47+'Right Share Ratio'!I47)*Split!I47-'Price Data'!I46-'Right Share Ratio'!I47*'Right Share Offer Price'!I47*Split!I47)/'Price Data'!I46</f>
        <v>-4.7732696897373689E-3</v>
      </c>
      <c r="J47" s="7">
        <f>('Price Data'!J47*(1+'Stock Dividend'!J47+'Right Share Ratio'!J47)*Split!J47-'Price Data'!J46-'Right Share Ratio'!J47*'Right Share Offer Price'!J47*Split!J47)/'Price Data'!J46</f>
        <v>3.644763860369607E-2</v>
      </c>
      <c r="K47" s="7">
        <f>('Price Data'!K47*(1+'Stock Dividend'!K47+'Right Share Ratio'!K47)*Split!K47-'Price Data'!K46-'Right Share Ratio'!K47*'Right Share Offer Price'!K47*Split!K47)/'Price Data'!K46</f>
        <v>3.3288043478260913E-2</v>
      </c>
      <c r="L47" s="7">
        <f>('Price Data'!L47*(1+'Stock Dividend'!L47+'Right Share Ratio'!L47)*Split!L47-'Price Data'!L46-'Right Share Ratio'!L47*'Right Share Offer Price'!L47*Split!L47)/'Price Data'!L46</f>
        <v>-2.7067669172932289E-2</v>
      </c>
      <c r="M47" s="7">
        <f>('Price Data'!M47*(1+'Stock Dividend'!M47+'Right Share Ratio'!M47)*Split!M47-'Price Data'!M46-'Right Share Ratio'!M47*'Right Share Offer Price'!M47*Split!M47)/'Price Data'!M46</f>
        <v>6.2832286128564037E-3</v>
      </c>
      <c r="N47" s="7">
        <f>('Price Data'!N47*(1+'Stock Dividend'!N47+'Right Share Ratio'!N47)*Split!N47-'Price Data'!N46-'Right Share Ratio'!N47*'Right Share Offer Price'!N47*Split!N47)/'Price Data'!N46</f>
        <v>-4.2635658914728737E-2</v>
      </c>
      <c r="O47" s="7">
        <f>('Price Data'!O47*(1+'Stock Dividend'!O47+'Right Share Ratio'!O47)*Split!O47-'Price Data'!O46-'Right Share Ratio'!O47*'Right Share Offer Price'!O47*Split!O47)/'Price Data'!O46</f>
        <v>-6.9276172724448457E-2</v>
      </c>
      <c r="P47" s="7">
        <f>('Price Data'!P47*(1+'Stock Dividend'!P47+'Right Share Ratio'!P47)*Split!P47-'Price Data'!P46-'Right Share Ratio'!P47*'Right Share Offer Price'!P47*Split!P47)/'Price Data'!P46</f>
        <v>1.8421967327076856E-2</v>
      </c>
      <c r="Q47" s="7">
        <f>('Price Data'!Q47*(1+'Stock Dividend'!Q47+'Right Share Ratio'!Q47)*Split!Q47-'Price Data'!Q46-'Right Share Ratio'!Q47*'Right Share Offer Price'!Q47*Split!Q47)/'Price Data'!Q46</f>
        <v>-1.9180819180819226E-2</v>
      </c>
      <c r="R47" s="7">
        <f>('Price Data'!R47*(1+'Stock Dividend'!R47+'Right Share Ratio'!R47)*Split!R47-'Price Data'!R46-'Right Share Ratio'!R47*'Right Share Offer Price'!R47*Split!R47)/'Price Data'!R46</f>
        <v>4.3271204532391666E-2</v>
      </c>
      <c r="S47" s="7">
        <f>('Price Data'!S47*(1+'Stock Dividend'!S47+'Right Share Ratio'!S47)*Split!S47-'Price Data'!S46-'Right Share Ratio'!S47*'Right Share Offer Price'!S47*Split!S47)/'Price Data'!S46</f>
        <v>-4.7413123413952138E-2</v>
      </c>
      <c r="T47" s="7">
        <f>('Price Data'!T47*(1+'Stock Dividend'!T47+'Right Share Ratio'!T47)*Split!T47-'Price Data'!T46-'Right Share Ratio'!T47*'Right Share Offer Price'!T47*Split!T47)/'Price Data'!T46</f>
        <v>-9.1517857142857026E-2</v>
      </c>
      <c r="U47" s="7">
        <f>('Price Data'!U47*(1+'Stock Dividend'!U47+'Right Share Ratio'!U47)*Split!U47-'Price Data'!U46-'Right Share Ratio'!U47*'Right Share Offer Price'!U47*Split!U47)/'Price Data'!U46</f>
        <v>-0.15357142857142864</v>
      </c>
      <c r="V47" s="7">
        <f>('Price Data'!V47*(1+'Stock Dividend'!V47+'Right Share Ratio'!V47)*Split!V47-'Price Data'!V46-'Right Share Ratio'!V47*'Right Share Offer Price'!V47*Split!V47)/'Price Data'!V46</f>
        <v>-1.8803418803418868E-2</v>
      </c>
    </row>
    <row r="48" spans="1:22">
      <c r="A48" s="167"/>
      <c r="B48" s="16" t="s">
        <v>22</v>
      </c>
      <c r="C48" s="7">
        <f>('Price Data'!C48*(1+'Stock Dividend'!C48+'Right Share Ratio'!C48)*Split!C48-'Price Data'!C47-'Right Share Ratio'!C48*'Right Share Offer Price'!C48*Split!C48)/'Price Data'!C47</f>
        <v>0.17370892018779333</v>
      </c>
      <c r="D48" s="7">
        <f>('Price Data'!D48*(1+'Stock Dividend'!D48+'Right Share Ratio'!D48)*Split!D48-'Price Data'!D47-'Right Share Ratio'!D48*'Right Share Offer Price'!D48*Split!D48)/'Price Data'!D47</f>
        <v>-8.4112149532710151E-2</v>
      </c>
      <c r="E48" s="7">
        <f>('Price Data'!E48*(1+'Stock Dividend'!E48+'Right Share Ratio'!E48)*Split!E48-'Price Data'!E47-'Right Share Ratio'!E48*'Right Share Offer Price'!E48*Split!E48)/'Price Data'!E47</f>
        <v>-6.0920285158781451E-2</v>
      </c>
      <c r="F48" s="7">
        <f>('Price Data'!F48*(1+'Stock Dividend'!F48+'Right Share Ratio'!F48)*Split!F48-'Price Data'!F47-'Right Share Ratio'!F48*'Right Share Offer Price'!F48*Split!F48)/'Price Data'!F47</f>
        <v>-5.6047197640117952E-2</v>
      </c>
      <c r="G48" s="7">
        <f>('Price Data'!G48*(1+'Stock Dividend'!G48+'Right Share Ratio'!G48)*Split!G48-'Price Data'!G47-'Right Share Ratio'!G48*'Right Share Offer Price'!G48*Split!G48)/'Price Data'!G47</f>
        <v>-2.011494252873551E-2</v>
      </c>
      <c r="H48" s="7">
        <f>('Price Data'!H48*(1+'Stock Dividend'!H48+'Right Share Ratio'!H48)*Split!H48-'Price Data'!H47-'Right Share Ratio'!H48*'Right Share Offer Price'!H48*Split!H48)/'Price Data'!H47</f>
        <v>-0.10897435897435893</v>
      </c>
      <c r="I48" s="7">
        <f>('Price Data'!I48*(1+'Stock Dividend'!I48+'Right Share Ratio'!I48)*Split!I48-'Price Data'!I47-'Right Share Ratio'!I48*'Right Share Offer Price'!I48*Split!I48)/'Price Data'!I47</f>
        <v>-3.7170263788968927E-2</v>
      </c>
      <c r="J48" s="7">
        <f>('Price Data'!J48*(1+'Stock Dividend'!J48+'Right Share Ratio'!J48)*Split!J48-'Price Data'!J47-'Right Share Ratio'!J48*'Right Share Offer Price'!J48*Split!J48)/'Price Data'!J47</f>
        <v>7.5284794452699297E-2</v>
      </c>
      <c r="K48" s="7">
        <f>('Price Data'!K48*(1+'Stock Dividend'!K48+'Right Share Ratio'!K48)*Split!K48-'Price Data'!K47-'Right Share Ratio'!K48*'Right Share Offer Price'!K48*Split!K48)/'Price Data'!K47</f>
        <v>-4.9967126890203779E-2</v>
      </c>
      <c r="L48" s="7">
        <f>('Price Data'!L48*(1+'Stock Dividend'!L48+'Right Share Ratio'!L48)*Split!L48-'Price Data'!L47-'Right Share Ratio'!L48*'Right Share Offer Price'!L48*Split!L48)/'Price Data'!L47</f>
        <v>-8.1916537867078892E-2</v>
      </c>
      <c r="M48" s="7">
        <f>('Price Data'!M48*(1+'Stock Dividend'!M48+'Right Share Ratio'!M48)*Split!M48-'Price Data'!M47-'Right Share Ratio'!M48*'Right Share Offer Price'!M48*Split!M48)/'Price Data'!M47</f>
        <v>-5.9558117195004895E-2</v>
      </c>
      <c r="N48" s="7">
        <f>('Price Data'!N48*(1+'Stock Dividend'!N48+'Right Share Ratio'!N48)*Split!N48-'Price Data'!N47-'Right Share Ratio'!N48*'Right Share Offer Price'!N48*Split!N48)/'Price Data'!N47</f>
        <v>-2.6315789473684154E-2</v>
      </c>
      <c r="O48" s="7">
        <f>('Price Data'!O48*(1+'Stock Dividend'!O48+'Right Share Ratio'!O48)*Split!O48-'Price Data'!O47-'Right Share Ratio'!O48*'Right Share Offer Price'!O48*Split!O48)/'Price Data'!O47</f>
        <v>-5.4072096128171043E-2</v>
      </c>
      <c r="P48" s="7">
        <f>('Price Data'!P48*(1+'Stock Dividend'!P48+'Right Share Ratio'!P48)*Split!P48-'Price Data'!P47-'Right Share Ratio'!P48*'Right Share Offer Price'!P48*Split!P48)/'Price Data'!P47</f>
        <v>-3.1058020477815779E-2</v>
      </c>
      <c r="Q48" s="7">
        <f>('Price Data'!Q48*(1+'Stock Dividend'!Q48+'Right Share Ratio'!Q48)*Split!Q48-'Price Data'!Q47-'Right Share Ratio'!Q48*'Right Share Offer Price'!Q48*Split!Q48)/'Price Data'!Q47</f>
        <v>-2.7296801792625745E-2</v>
      </c>
      <c r="R48" s="7">
        <f>('Price Data'!R48*(1+'Stock Dividend'!R48+'Right Share Ratio'!R48)*Split!R48-'Price Data'!R47-'Right Share Ratio'!R48*'Right Share Offer Price'!R48*Split!R48)/'Price Data'!R47</f>
        <v>-9.5033842279238168E-2</v>
      </c>
      <c r="S48" s="7">
        <f>('Price Data'!S48*(1+'Stock Dividend'!S48+'Right Share Ratio'!S48)*Split!S48-'Price Data'!S47-'Right Share Ratio'!S48*'Right Share Offer Price'!S48*Split!S48)/'Price Data'!S47</f>
        <v>-0.10816320982955926</v>
      </c>
      <c r="T48" s="7">
        <f>('Price Data'!T48*(1+'Stock Dividend'!T48+'Right Share Ratio'!T48)*Split!T48-'Price Data'!T47-'Right Share Ratio'!T48*'Right Share Offer Price'!T48*Split!T48)/'Price Data'!T47</f>
        <v>-2.702702702702706E-2</v>
      </c>
      <c r="U48" s="7">
        <f>('Price Data'!U48*(1+'Stock Dividend'!U48+'Right Share Ratio'!U48)*Split!U48-'Price Data'!U47-'Right Share Ratio'!U48*'Right Share Offer Price'!U48*Split!U48)/'Price Data'!U47</f>
        <v>-0.11673699015471165</v>
      </c>
      <c r="V48" s="7">
        <f>('Price Data'!V48*(1+'Stock Dividend'!V48+'Right Share Ratio'!V48)*Split!V48-'Price Data'!V47-'Right Share Ratio'!V48*'Right Share Offer Price'!V48*Split!V48)/'Price Data'!V47</f>
        <v>-2.3228803716607276E-3</v>
      </c>
    </row>
    <row r="49" spans="1:22">
      <c r="A49" s="167"/>
      <c r="B49" s="16" t="s">
        <v>23</v>
      </c>
      <c r="C49" s="7">
        <f>('Price Data'!C49*(1+'Stock Dividend'!C49+'Right Share Ratio'!C49)*Split!C49-'Price Data'!C48-'Right Share Ratio'!C49*'Right Share Offer Price'!C49*Split!C49)/'Price Data'!C48</f>
        <v>0.10225000000000009</v>
      </c>
      <c r="D49" s="7">
        <f>('Price Data'!D49*(1+'Stock Dividend'!D49+'Right Share Ratio'!D49)*Split!D49-'Price Data'!D48-'Right Share Ratio'!D49*'Right Share Offer Price'!D49*Split!D49)/'Price Data'!D48</f>
        <v>1.0204081632653024E-2</v>
      </c>
      <c r="E49" s="7">
        <f>('Price Data'!E49*(1+'Stock Dividend'!E49+'Right Share Ratio'!E49)*Split!E49-'Price Data'!E48-'Right Share Ratio'!E49*'Right Share Offer Price'!E49*Split!E49)/'Price Data'!E48</f>
        <v>2.8985507246376708E-2</v>
      </c>
      <c r="F49" s="7">
        <f>('Price Data'!F49*(1+'Stock Dividend'!F49+'Right Share Ratio'!F49)*Split!F49-'Price Data'!F48-'Right Share Ratio'!F49*'Right Share Offer Price'!F49*Split!F49)/'Price Data'!F48</f>
        <v>7.1000000000000174E-2</v>
      </c>
      <c r="G49" s="7">
        <f>('Price Data'!G49*(1+'Stock Dividend'!G49+'Right Share Ratio'!G49)*Split!G49-'Price Data'!G48-'Right Share Ratio'!G49*'Right Share Offer Price'!G49*Split!G49)/'Price Data'!G48</f>
        <v>0.15249266862170074</v>
      </c>
      <c r="H49" s="7">
        <f>('Price Data'!H49*(1+'Stock Dividend'!H49+'Right Share Ratio'!H49)*Split!H49-'Price Data'!H48-'Right Share Ratio'!H49*'Right Share Offer Price'!H49*Split!H49)/'Price Data'!H48</f>
        <v>3.9568345323740928E-2</v>
      </c>
      <c r="I49" s="7">
        <f>('Price Data'!I49*(1+'Stock Dividend'!I49+'Right Share Ratio'!I49)*Split!I49-'Price Data'!I48-'Right Share Ratio'!I49*'Right Share Offer Price'!I49*Split!I49)/'Price Data'!I48</f>
        <v>0.22789539227895389</v>
      </c>
      <c r="J49" s="7">
        <f>('Price Data'!J49*(1+'Stock Dividend'!J49+'Right Share Ratio'!J49)*Split!J49-'Price Data'!J48-'Right Share Ratio'!J49*'Right Share Offer Price'!J49*Split!J49)/'Price Data'!J48</f>
        <v>9.0741593735605794E-2</v>
      </c>
      <c r="K49" s="7">
        <f>('Price Data'!K49*(1+'Stock Dividend'!K49+'Right Share Ratio'!K49)*Split!K49-'Price Data'!K48-'Right Share Ratio'!K49*'Right Share Offer Price'!K49*Split!K49)/'Price Data'!K48</f>
        <v>6.228373702422145E-2</v>
      </c>
      <c r="L49" s="7">
        <f>('Price Data'!L49*(1+'Stock Dividend'!L49+'Right Share Ratio'!L49)*Split!L49-'Price Data'!L48-'Right Share Ratio'!L49*'Right Share Offer Price'!L49*Split!L49)/'Price Data'!L48</f>
        <v>5.0505050505050504E-2</v>
      </c>
      <c r="M49" s="7">
        <f>('Price Data'!M49*(1+'Stock Dividend'!M49+'Right Share Ratio'!M49)*Split!M49-'Price Data'!M48-'Right Share Ratio'!M49*'Right Share Offer Price'!M49*Split!M49)/'Price Data'!M48</f>
        <v>3.8815117466802947E-2</v>
      </c>
      <c r="N49" s="7">
        <f>('Price Data'!N49*(1+'Stock Dividend'!N49+'Right Share Ratio'!N49)*Split!N49-'Price Data'!N48-'Right Share Ratio'!N49*'Right Share Offer Price'!N49*Split!N49)/'Price Data'!N48</f>
        <v>3.3264033264033294E-2</v>
      </c>
      <c r="O49" s="7">
        <f>('Price Data'!O49*(1+'Stock Dividend'!O49+'Right Share Ratio'!O49)*Split!O49-'Price Data'!O48-'Right Share Ratio'!O49*'Right Share Offer Price'!O49*Split!O49)/'Price Data'!O48</f>
        <v>6.9513055751588032E-2</v>
      </c>
      <c r="P49" s="7">
        <f>('Price Data'!P49*(1+'Stock Dividend'!P49+'Right Share Ratio'!P49)*Split!P49-'Price Data'!P48-'Right Share Ratio'!P49*'Right Share Offer Price'!P49*Split!P49)/'Price Data'!P48</f>
        <v>3.5928143712575016E-2</v>
      </c>
      <c r="Q49" s="7">
        <f>('Price Data'!Q49*(1+'Stock Dividend'!Q49+'Right Share Ratio'!Q49)*Split!Q49-'Price Data'!Q48-'Right Share Ratio'!Q49*'Right Share Offer Price'!Q49*Split!Q49)/'Price Data'!Q48</f>
        <v>2.2827225130890003E-2</v>
      </c>
      <c r="R49" s="7">
        <f>('Price Data'!R49*(1+'Stock Dividend'!R49+'Right Share Ratio'!R49)*Split!R49-'Price Data'!R48-'Right Share Ratio'!R49*'Right Share Offer Price'!R49*Split!R49)/'Price Data'!R48</f>
        <v>5.3659172935600338E-2</v>
      </c>
      <c r="S49" s="7">
        <f>('Price Data'!S49*(1+'Stock Dividend'!S49+'Right Share Ratio'!S49)*Split!S49-'Price Data'!S48-'Right Share Ratio'!S49*'Right Share Offer Price'!S49*Split!S49)/'Price Data'!S48</f>
        <v>1.8349183126066756E-2</v>
      </c>
      <c r="T49" s="7">
        <f>('Price Data'!T49*(1+'Stock Dividend'!T49+'Right Share Ratio'!T49)*Split!T49-'Price Data'!T48-'Right Share Ratio'!T49*'Right Share Offer Price'!T49*Split!T49)/'Price Data'!T48</f>
        <v>-2.525252525252561E-3</v>
      </c>
      <c r="U49" s="7">
        <f>('Price Data'!U49*(1+'Stock Dividend'!U49+'Right Share Ratio'!U49)*Split!U49-'Price Data'!U48-'Right Share Ratio'!U49*'Right Share Offer Price'!U49*Split!U49)/'Price Data'!U48</f>
        <v>0.11146496815286625</v>
      </c>
      <c r="V49" s="7">
        <f>('Price Data'!V49*(1+'Stock Dividend'!V49+'Right Share Ratio'!V49)*Split!V49-'Price Data'!V48-'Right Share Ratio'!V49*'Right Share Offer Price'!V49*Split!V49)/'Price Data'!V48</f>
        <v>6.1699650756693793E-2</v>
      </c>
    </row>
    <row r="50" spans="1:22">
      <c r="A50" s="167"/>
      <c r="B50" s="16" t="s">
        <v>24</v>
      </c>
      <c r="C50" s="7">
        <f>('Price Data'!C50*(1+'Stock Dividend'!C50+'Right Share Ratio'!C50)*Split!C50-'Price Data'!C49-'Right Share Ratio'!C50*'Right Share Offer Price'!C50*Split!C50)/'Price Data'!C49</f>
        <v>0.3944205035155362</v>
      </c>
      <c r="D50" s="7">
        <f>('Price Data'!D50*(1+'Stock Dividend'!D50+'Right Share Ratio'!D50)*Split!D50-'Price Data'!D49-'Right Share Ratio'!D50*'Right Share Offer Price'!D50*Split!D50)/'Price Data'!D49</f>
        <v>0.31313131313131309</v>
      </c>
      <c r="E50" s="7">
        <f>('Price Data'!E50*(1+'Stock Dividend'!E50+'Right Share Ratio'!E50)*Split!E50-'Price Data'!E49-'Right Share Ratio'!E50*'Right Share Offer Price'!E50*Split!E50)/'Price Data'!E49</f>
        <v>0.33098591549295769</v>
      </c>
      <c r="F50" s="7">
        <f>('Price Data'!F50*(1+'Stock Dividend'!F50+'Right Share Ratio'!F50)*Split!F50-'Price Data'!F49-'Right Share Ratio'!F50*'Right Share Offer Price'!F50*Split!F50)/'Price Data'!F49</f>
        <v>0.21428571428571416</v>
      </c>
      <c r="G50" s="7">
        <f>('Price Data'!G50*(1+'Stock Dividend'!G50+'Right Share Ratio'!G50)*Split!G50-'Price Data'!G49-'Right Share Ratio'!G50*'Right Share Offer Price'!G50*Split!G50)/'Price Data'!G49</f>
        <v>4.3256997455470812E-2</v>
      </c>
      <c r="H50" s="7">
        <f>('Price Data'!H50*(1+'Stock Dividend'!H50+'Right Share Ratio'!H50)*Split!H50-'Price Data'!H49-'Right Share Ratio'!H50*'Right Share Offer Price'!H50*Split!H50)/'Price Data'!H49</f>
        <v>0.19377162629757791</v>
      </c>
      <c r="I50" s="7">
        <f>('Price Data'!I50*(1+'Stock Dividend'!I50+'Right Share Ratio'!I50)*Split!I50-'Price Data'!I49-'Right Share Ratio'!I50*'Right Share Offer Price'!I50*Split!I50)/'Price Data'!I49</f>
        <v>-6.2880324543610436E-2</v>
      </c>
      <c r="J50" s="7">
        <f>('Price Data'!J50*(1+'Stock Dividend'!J50+'Right Share Ratio'!J50)*Split!J50-'Price Data'!J49-'Right Share Ratio'!J50*'Right Share Offer Price'!J50*Split!J50)/'Price Data'!J49</f>
        <v>9.5016891891891886E-2</v>
      </c>
      <c r="K50" s="7">
        <f>('Price Data'!K50*(1+'Stock Dividend'!K50+'Right Share Ratio'!K50)*Split!K50-'Price Data'!K49-'Right Share Ratio'!K50*'Right Share Offer Price'!K50*Split!K50)/'Price Data'!K49</f>
        <v>8.7296416938110785E-2</v>
      </c>
      <c r="L50" s="7">
        <f>('Price Data'!L50*(1+'Stock Dividend'!L50+'Right Share Ratio'!L50)*Split!L50-'Price Data'!L49-'Right Share Ratio'!L50*'Right Share Offer Price'!L50*Split!L50)/'Price Data'!L49</f>
        <v>8.4935897435897509E-2</v>
      </c>
      <c r="M50" s="7">
        <f>('Price Data'!M50*(1+'Stock Dividend'!M50+'Right Share Ratio'!M50)*Split!M50-'Price Data'!M49-'Right Share Ratio'!M50*'Right Share Offer Price'!M50*Split!M50)/'Price Data'!M49</f>
        <v>7.9646017699115099E-2</v>
      </c>
      <c r="N50" s="7">
        <f>('Price Data'!N50*(1+'Stock Dividend'!N50+'Right Share Ratio'!N50)*Split!N50-'Price Data'!N49-'Right Share Ratio'!N50*'Right Share Offer Price'!N50*Split!N50)/'Price Data'!N49</f>
        <v>0.12474849094567395</v>
      </c>
      <c r="O50" s="7">
        <f>('Price Data'!O50*(1+'Stock Dividend'!O50+'Right Share Ratio'!O50)*Split!O50-'Price Data'!O49-'Right Share Ratio'!O50*'Right Share Offer Price'!O50*Split!O50)/'Price Data'!O49</f>
        <v>3.2662487627845516E-2</v>
      </c>
      <c r="P50" s="7">
        <f>('Price Data'!P50*(1+'Stock Dividend'!P50+'Right Share Ratio'!P50)*Split!P50-'Price Data'!P49-'Right Share Ratio'!P50*'Right Share Offer Price'!P50*Split!P50)/'Price Data'!P49</f>
        <v>6.5623937436246019E-2</v>
      </c>
      <c r="Q50" s="7">
        <f>('Price Data'!Q50*(1+'Stock Dividend'!Q50+'Right Share Ratio'!Q50)*Split!Q50-'Price Data'!Q49-'Right Share Ratio'!Q50*'Right Share Offer Price'!Q50*Split!Q50)/'Price Data'!Q49</f>
        <v>4.6068796068796068E-2</v>
      </c>
      <c r="R50" s="7">
        <f>('Price Data'!R50*(1+'Stock Dividend'!R50+'Right Share Ratio'!R50)*Split!R50-'Price Data'!R49-'Right Share Ratio'!R50*'Right Share Offer Price'!R50*Split!R50)/'Price Data'!R49</f>
        <v>0.18864264784779824</v>
      </c>
      <c r="S50" s="7">
        <f>('Price Data'!S50*(1+'Stock Dividend'!S50+'Right Share Ratio'!S50)*Split!S50-'Price Data'!S49-'Right Share Ratio'!S50*'Right Share Offer Price'!S50*Split!S50)/'Price Data'!S49</f>
        <v>1.4366956001197246E-2</v>
      </c>
      <c r="T50" s="7">
        <f>('Price Data'!T50*(1+'Stock Dividend'!T50+'Right Share Ratio'!T50)*Split!T50-'Price Data'!T49-'Right Share Ratio'!T50*'Right Share Offer Price'!T50*Split!T50)/'Price Data'!T49</f>
        <v>1.7721518987341846E-2</v>
      </c>
      <c r="U50" s="7">
        <f>('Price Data'!U50*(1+'Stock Dividend'!U50+'Right Share Ratio'!U50)*Split!U50-'Price Data'!U49-'Right Share Ratio'!U50*'Right Share Offer Price'!U50*Split!U50)/'Price Data'!U49</f>
        <v>9.5988538681948468E-2</v>
      </c>
      <c r="V50" s="7">
        <f>('Price Data'!V50*(1+'Stock Dividend'!V50+'Right Share Ratio'!V50)*Split!V50-'Price Data'!V49-'Right Share Ratio'!V50*'Right Share Offer Price'!V50*Split!V50)/'Price Data'!V49</f>
        <v>4.3859649122807015E-2</v>
      </c>
    </row>
    <row r="51" spans="1:22">
      <c r="A51" s="167"/>
      <c r="B51" s="16" t="s">
        <v>25</v>
      </c>
      <c r="C51" s="7">
        <f>('Price Data'!C51*(1+'Stock Dividend'!C51+'Right Share Ratio'!C51)*Split!C51-'Price Data'!C50-'Right Share Ratio'!C51*'Right Share Offer Price'!C51*Split!C51)/'Price Data'!C50</f>
        <v>8.1977878985035779E-2</v>
      </c>
      <c r="D51" s="7">
        <f>('Price Data'!D51*(1+'Stock Dividend'!D51+'Right Share Ratio'!D51)*Split!D51-'Price Data'!D50-'Right Share Ratio'!D51*'Right Share Offer Price'!D51*Split!D51)/'Price Data'!D50</f>
        <v>-6.9230769230769262E-2</v>
      </c>
      <c r="E51" s="7">
        <f>('Price Data'!E51*(1+'Stock Dividend'!E51+'Right Share Ratio'!E51)*Split!E51-'Price Data'!E50-'Right Share Ratio'!E51*'Right Share Offer Price'!E51*Split!E51)/'Price Data'!E50</f>
        <v>1.0582010582010732E-2</v>
      </c>
      <c r="F51" s="7">
        <f>('Price Data'!F51*(1+'Stock Dividend'!F51+'Right Share Ratio'!F51)*Split!F51-'Price Data'!F50-'Right Share Ratio'!F51*'Right Share Offer Price'!F51*Split!F51)/'Price Data'!F50</f>
        <v>-5.3921568627450879E-2</v>
      </c>
      <c r="G51" s="7">
        <f>('Price Data'!G51*(1+'Stock Dividend'!G51+'Right Share Ratio'!G51)*Split!G51-'Price Data'!G50-'Right Share Ratio'!G51*'Right Share Offer Price'!G51*Split!G51)/'Price Data'!G50</f>
        <v>0.14146341463414627</v>
      </c>
      <c r="H51" s="7">
        <f>('Price Data'!H51*(1+'Stock Dividend'!H51+'Right Share Ratio'!H51)*Split!H51-'Price Data'!H50-'Right Share Ratio'!H51*'Right Share Offer Price'!H51*Split!H51)/'Price Data'!H50</f>
        <v>3.1884057971014533E-2</v>
      </c>
      <c r="I51" s="7">
        <f>('Price Data'!I51*(1+'Stock Dividend'!I51+'Right Share Ratio'!I51)*Split!I51-'Price Data'!I50-'Right Share Ratio'!I51*'Right Share Offer Price'!I51*Split!I51)/'Price Data'!I50</f>
        <v>0.11796536796536787</v>
      </c>
      <c r="J51" s="7">
        <f>('Price Data'!J51*(1+'Stock Dividend'!J51+'Right Share Ratio'!J51)*Split!J51-'Price Data'!J50-'Right Share Ratio'!J51*'Right Share Offer Price'!J51*Split!J51)/'Price Data'!J50</f>
        <v>0.10952564596991891</v>
      </c>
      <c r="K51" s="7">
        <f>('Price Data'!K51*(1+'Stock Dividend'!K51+'Right Share Ratio'!K51)*Split!K51-'Price Data'!K50-'Right Share Ratio'!K51*'Right Share Offer Price'!K51*Split!K51)/'Price Data'!K50</f>
        <v>1.7974835230677052E-2</v>
      </c>
      <c r="L51" s="7">
        <f>('Price Data'!L51*(1+'Stock Dividend'!L51+'Right Share Ratio'!L51)*Split!L51-'Price Data'!L50-'Right Share Ratio'!L51*'Right Share Offer Price'!L51*Split!L51)/'Price Data'!L50</f>
        <v>0.14771048744460857</v>
      </c>
      <c r="M51" s="7">
        <f>('Price Data'!M51*(1+'Stock Dividend'!M51+'Right Share Ratio'!M51)*Split!M51-'Price Data'!M50-'Right Share Ratio'!M51*'Right Share Offer Price'!M51*Split!M51)/'Price Data'!M50</f>
        <v>6.2841530054644767E-2</v>
      </c>
      <c r="N51" s="7">
        <f>('Price Data'!N51*(1+'Stock Dividend'!N51+'Right Share Ratio'!N51)*Split!N51-'Price Data'!N50-'Right Share Ratio'!N51*'Right Share Offer Price'!N51*Split!N51)/'Price Data'!N50</f>
        <v>0.11627906976744186</v>
      </c>
      <c r="O51" s="7">
        <f>('Price Data'!O51*(1+'Stock Dividend'!O51+'Right Share Ratio'!O51)*Split!O51-'Price Data'!O50-'Right Share Ratio'!O51*'Right Share Offer Price'!O51*Split!O51)/'Price Data'!O50</f>
        <v>-8.3067092651757917E-3</v>
      </c>
      <c r="P51" s="7">
        <f>('Price Data'!P51*(1+'Stock Dividend'!P51+'Right Share Ratio'!P51)*Split!P51-'Price Data'!P50-'Right Share Ratio'!P51*'Right Share Offer Price'!P51*Split!P51)/'Price Data'!P50</f>
        <v>2.5207402680280901E-2</v>
      </c>
      <c r="Q51" s="7">
        <f>('Price Data'!Q51*(1+'Stock Dividend'!Q51+'Right Share Ratio'!Q51)*Split!Q51-'Price Data'!Q50-'Right Share Ratio'!Q51*'Right Share Offer Price'!Q51*Split!Q51)/'Price Data'!Q50</f>
        <v>3.4449011548248233E-2</v>
      </c>
      <c r="R51" s="7">
        <f>('Price Data'!R51*(1+'Stock Dividend'!R51+'Right Share Ratio'!R51)*Split!R51-'Price Data'!R50-'Right Share Ratio'!R51*'Right Share Offer Price'!R51*Split!R51)/'Price Data'!R50</f>
        <v>1.3401847093951936E-2</v>
      </c>
      <c r="S51" s="7">
        <f>('Price Data'!S51*(1+'Stock Dividend'!S51+'Right Share Ratio'!S51)*Split!S51-'Price Data'!S50-'Right Share Ratio'!S51*'Right Share Offer Price'!S51*Split!S51)/'Price Data'!S50</f>
        <v>1.4871643552670431E-2</v>
      </c>
      <c r="T51" s="7">
        <f>('Price Data'!T51*(1+'Stock Dividend'!T51+'Right Share Ratio'!T51)*Split!T51-'Price Data'!T50-'Right Share Ratio'!T51*'Right Share Offer Price'!T51*Split!T51)/'Price Data'!T50</f>
        <v>0.13930348258706451</v>
      </c>
      <c r="U51" s="7">
        <f>('Price Data'!U51*(1+'Stock Dividend'!U51+'Right Share Ratio'!U51)*Split!U51-'Price Data'!U50-'Right Share Ratio'!U51*'Right Share Offer Price'!U51*Split!U51)/'Price Data'!U50</f>
        <v>7.9738562091503193E-2</v>
      </c>
      <c r="V51" s="7">
        <f>('Price Data'!V51*(1+'Stock Dividend'!V51+'Right Share Ratio'!V51)*Split!V51-'Price Data'!V50-'Right Share Ratio'!V51*'Right Share Offer Price'!V51*Split!V51)/'Price Data'!V50</f>
        <v>3.6764705882352342E-3</v>
      </c>
    </row>
    <row r="52" spans="1:22">
      <c r="A52" s="167"/>
      <c r="B52" s="16" t="s">
        <v>26</v>
      </c>
      <c r="C52" s="7">
        <f>('Price Data'!C52*(1+'Stock Dividend'!C52+'Right Share Ratio'!C52)*Split!C52-'Price Data'!C51-'Right Share Ratio'!C52*'Right Share Offer Price'!C52*Split!C52)/'Price Data'!C51</f>
        <v>-9.1551413108839394E-2</v>
      </c>
      <c r="D52" s="7">
        <f>('Price Data'!D52*(1+'Stock Dividend'!D52+'Right Share Ratio'!D52)*Split!D52-'Price Data'!D51-'Right Share Ratio'!D52*'Right Share Offer Price'!D52*Split!D52)/'Price Data'!D51</f>
        <v>8.2644628099173261E-3</v>
      </c>
      <c r="E52" s="7">
        <f>('Price Data'!E52*(1+'Stock Dividend'!E52+'Right Share Ratio'!E52)*Split!E52-'Price Data'!E51-'Right Share Ratio'!E52*'Right Share Offer Price'!E52*Split!E52)/'Price Data'!E51</f>
        <v>0.15706806282722513</v>
      </c>
      <c r="F52" s="7">
        <f>('Price Data'!F52*(1+'Stock Dividend'!F52+'Right Share Ratio'!F52)*Split!F52-'Price Data'!F51-'Right Share Ratio'!F52*'Right Share Offer Price'!F52*Split!F52)/'Price Data'!F51</f>
        <v>-1.2953367875647668E-2</v>
      </c>
      <c r="G52" s="7">
        <f>('Price Data'!G52*(1+'Stock Dividend'!G52+'Right Share Ratio'!G52)*Split!G52-'Price Data'!G51-'Right Share Ratio'!G52*'Right Share Offer Price'!G52*Split!G52)/'Price Data'!G51</f>
        <v>-5.1282051282051253E-2</v>
      </c>
      <c r="H52" s="7">
        <f>('Price Data'!H52*(1+'Stock Dividend'!H52+'Right Share Ratio'!H52)*Split!H52-'Price Data'!H51-'Right Share Ratio'!H52*'Right Share Offer Price'!H52*Split!H52)/'Price Data'!H51</f>
        <v>-3.3707865168539401E-2</v>
      </c>
      <c r="I52" s="7">
        <f>('Price Data'!I52*(1+'Stock Dividend'!I52+'Right Share Ratio'!I52)*Split!I52-'Price Data'!I51-'Right Share Ratio'!I52*'Right Share Offer Price'!I52*Split!I52)/'Price Data'!I51</f>
        <v>-6.3891577928363932E-2</v>
      </c>
      <c r="J52" s="7">
        <f>('Price Data'!J52*(1+'Stock Dividend'!J52+'Right Share Ratio'!J52)*Split!J52-'Price Data'!J51-'Right Share Ratio'!J52*'Right Share Offer Price'!J52*Split!J52)/'Price Data'!J51</f>
        <v>0.1007994438651373</v>
      </c>
      <c r="K52" s="7">
        <f>('Price Data'!K52*(1+'Stock Dividend'!K52+'Right Share Ratio'!K52)*Split!K52-'Price Data'!K51-'Right Share Ratio'!K52*'Right Share Offer Price'!K52*Split!K52)/'Price Data'!K51</f>
        <v>-8.9464390818128403E-2</v>
      </c>
      <c r="L52" s="7">
        <f>('Price Data'!L52*(1+'Stock Dividend'!L52+'Right Share Ratio'!L52)*Split!L52-'Price Data'!L51-'Right Share Ratio'!L52*'Right Share Offer Price'!L52*Split!L52)/'Price Data'!L51</f>
        <v>-1.8018018018018091E-2</v>
      </c>
      <c r="M52" s="7">
        <f>('Price Data'!M52*(1+'Stock Dividend'!M52+'Right Share Ratio'!M52)*Split!M52-'Price Data'!M51-'Right Share Ratio'!M52*'Right Share Offer Price'!M52*Split!M52)/'Price Data'!M51</f>
        <v>1.2853470437018025E-2</v>
      </c>
      <c r="N52" s="7">
        <f>('Price Data'!N52*(1+'Stock Dividend'!N52+'Right Share Ratio'!N52)*Split!N52-'Price Data'!N51-'Right Share Ratio'!N52*'Right Share Offer Price'!N52*Split!N52)/'Price Data'!N51</f>
        <v>-5.2884615384615342E-2</v>
      </c>
      <c r="O52" s="7">
        <f>('Price Data'!O52*(1+'Stock Dividend'!O52+'Right Share Ratio'!O52)*Split!O52-'Price Data'!O51-'Right Share Ratio'!O52*'Right Share Offer Price'!O52*Split!O52)/'Price Data'!O51</f>
        <v>-3.6726804123711272E-2</v>
      </c>
      <c r="P52" s="7">
        <f>('Price Data'!P52*(1+'Stock Dividend'!P52+'Right Share Ratio'!P52)*Split!P52-'Price Data'!P51-'Right Share Ratio'!P52*'Right Share Offer Price'!P52*Split!P52)/'Price Data'!P51</f>
        <v>-4.3572984749455333E-2</v>
      </c>
      <c r="Q52" s="7">
        <f>('Price Data'!Q52*(1+'Stock Dividend'!Q52+'Right Share Ratio'!Q52)*Split!Q52-'Price Data'!Q51-'Right Share Ratio'!Q52*'Right Share Offer Price'!Q52*Split!Q52)/'Price Data'!Q51</f>
        <v>-9.1012298959318866E-2</v>
      </c>
      <c r="R52" s="7">
        <f>('Price Data'!R52*(1+'Stock Dividend'!R52+'Right Share Ratio'!R52)*Split!R52-'Price Data'!R51-'Right Share Ratio'!R52*'Right Share Offer Price'!R52*Split!R52)/'Price Data'!R51</f>
        <v>-2.6277922433877027E-2</v>
      </c>
      <c r="S52" s="7">
        <f>('Price Data'!S52*(1+'Stock Dividend'!S52+'Right Share Ratio'!S52)*Split!S52-'Price Data'!S51-'Right Share Ratio'!S52*'Right Share Offer Price'!S52*Split!S52)/'Price Data'!S51</f>
        <v>-6.8325870791417108E-3</v>
      </c>
      <c r="T52" s="7">
        <f>('Price Data'!T52*(1+'Stock Dividend'!T52+'Right Share Ratio'!T52)*Split!T52-'Price Data'!T51-'Right Share Ratio'!T52*'Right Share Offer Price'!T52*Split!T52)/'Price Data'!T51</f>
        <v>4.1484716157205365E-2</v>
      </c>
      <c r="U52" s="7">
        <f>('Price Data'!U52*(1+'Stock Dividend'!U52+'Right Share Ratio'!U52)*Split!U52-'Price Data'!U51-'Right Share Ratio'!U52*'Right Share Offer Price'!U52*Split!U52)/'Price Data'!U51</f>
        <v>-9.5641646489104018E-2</v>
      </c>
      <c r="V52" s="7">
        <f>('Price Data'!V52*(1+'Stock Dividend'!V52+'Right Share Ratio'!V52)*Split!V52-'Price Data'!V51-'Right Share Ratio'!V52*'Right Share Offer Price'!V52*Split!V52)/'Price Data'!V51</f>
        <v>-1.9884877027734081E-2</v>
      </c>
    </row>
    <row r="53" spans="1:22">
      <c r="A53" s="167"/>
      <c r="B53" s="16" t="s">
        <v>15</v>
      </c>
      <c r="C53" s="7">
        <f>('Price Data'!C53*(1+'Stock Dividend'!C53+'Right Share Ratio'!C53)*Split!C53-'Price Data'!C52-'Right Share Ratio'!C53*'Right Share Offer Price'!C53*Split!C53)/'Price Data'!C52</f>
        <v>-2.0023167301009448E-2</v>
      </c>
      <c r="D53" s="7">
        <f>('Price Data'!D53*(1+'Stock Dividend'!D53+'Right Share Ratio'!D53)*Split!D53-'Price Data'!D52-'Right Share Ratio'!D53*'Right Share Offer Price'!D53*Split!D53)/'Price Data'!D52</f>
        <v>-9.0163934426229483E-2</v>
      </c>
      <c r="E53" s="7">
        <f>('Price Data'!E53*(1+'Stock Dividend'!E53+'Right Share Ratio'!E53)*Split!E53-'Price Data'!E52-'Right Share Ratio'!E53*'Right Share Offer Price'!E53*Split!E53)/'Price Data'!E52</f>
        <v>-2.7149321266968389E-2</v>
      </c>
      <c r="F53" s="7">
        <f>('Price Data'!F53*(1+'Stock Dividend'!F53+'Right Share Ratio'!F53)*Split!F53-'Price Data'!F52-'Right Share Ratio'!F53*'Right Share Offer Price'!F53*Split!F53)/'Price Data'!F52</f>
        <v>-3.937007874015748E-2</v>
      </c>
      <c r="G53" s="7">
        <f>('Price Data'!G53*(1+'Stock Dividend'!G53+'Right Share Ratio'!G53)*Split!G53-'Price Data'!G52-'Right Share Ratio'!G53*'Right Share Offer Price'!G53*Split!G53)/'Price Data'!G52</f>
        <v>-2.4774774774774806E-2</v>
      </c>
      <c r="H53" s="7">
        <f>('Price Data'!H53*(1+'Stock Dividend'!H53+'Right Share Ratio'!H53)*Split!H53-'Price Data'!H52-'Right Share Ratio'!H53*'Right Share Offer Price'!H53*Split!H53)/'Price Data'!H52</f>
        <v>-7.5581395348837149E-2</v>
      </c>
      <c r="I53" s="7">
        <f>('Price Data'!I53*(1+'Stock Dividend'!I53+'Right Share Ratio'!I53)*Split!I53-'Price Data'!I52-'Right Share Ratio'!I53*'Right Share Offer Price'!I53*Split!I53)/'Price Data'!I52</f>
        <v>-1.3443640124095111E-2</v>
      </c>
      <c r="J53" s="7">
        <f>('Price Data'!J53*(1+'Stock Dividend'!J53+'Right Share Ratio'!J53)*Split!J53-'Price Data'!J52-'Right Share Ratio'!J53*'Right Share Offer Price'!J53*Split!J53)/'Price Data'!J52</f>
        <v>-2.6523523839595761E-2</v>
      </c>
      <c r="K53" s="7">
        <f>('Price Data'!K53*(1+'Stock Dividend'!K53+'Right Share Ratio'!K53)*Split!K53-'Price Data'!K52-'Right Share Ratio'!K53*'Right Share Offer Price'!K53*Split!K53)/'Price Data'!K52</f>
        <v>-3.9431157078215866E-2</v>
      </c>
      <c r="L53" s="7">
        <f>('Price Data'!L53*(1+'Stock Dividend'!L53+'Right Share Ratio'!L53)*Split!L53-'Price Data'!L52-'Right Share Ratio'!L53*'Right Share Offer Price'!L53*Split!L53)/'Price Data'!L52</f>
        <v>-7.8636959370903588E-3</v>
      </c>
      <c r="M53" s="7">
        <f>('Price Data'!M53*(1+'Stock Dividend'!M53+'Right Share Ratio'!M53)*Split!M53-'Price Data'!M52-'Right Share Ratio'!M53*'Right Share Offer Price'!M53*Split!M53)/'Price Data'!M52</f>
        <v>0.27630604906937389</v>
      </c>
      <c r="N53" s="7">
        <f>('Price Data'!N53*(1+'Stock Dividend'!N53+'Right Share Ratio'!N53)*Split!N53-'Price Data'!N52-'Right Share Ratio'!N53*'Right Share Offer Price'!N53*Split!N53)/'Price Data'!N52</f>
        <v>-6.7681895093062605E-2</v>
      </c>
      <c r="O53" s="7">
        <f>('Price Data'!O53*(1+'Stock Dividend'!O53+'Right Share Ratio'!O53)*Split!O53-'Price Data'!O52-'Right Share Ratio'!O53*'Right Share Offer Price'!O53*Split!O53)/'Price Data'!O52</f>
        <v>-5.2173913043478334E-2</v>
      </c>
      <c r="P53" s="7">
        <f>('Price Data'!P53*(1+'Stock Dividend'!P53+'Right Share Ratio'!P53)*Split!P53-'Price Data'!P52-'Right Share Ratio'!P53*'Right Share Offer Price'!P53*Split!P53)/'Price Data'!P52</f>
        <v>-5.0764725024406189E-2</v>
      </c>
      <c r="Q53" s="7">
        <f>('Price Data'!Q53*(1+'Stock Dividend'!Q53+'Right Share Ratio'!Q53)*Split!Q53-'Price Data'!Q52-'Right Share Ratio'!Q53*'Right Share Offer Price'!Q53*Split!Q53)/'Price Data'!Q52</f>
        <v>-8.9925062447960016E-2</v>
      </c>
      <c r="R53" s="7">
        <f>('Price Data'!R53*(1+'Stock Dividend'!R53+'Right Share Ratio'!R53)*Split!R53-'Price Data'!R52-'Right Share Ratio'!R53*'Right Share Offer Price'!R53*Split!R53)/'Price Data'!R52</f>
        <v>-2.1779669962351814E-2</v>
      </c>
      <c r="S53" s="7">
        <f>('Price Data'!S53*(1+'Stock Dividend'!S53+'Right Share Ratio'!S53)*Split!S53-'Price Data'!S52-'Right Share Ratio'!S53*'Right Share Offer Price'!S53*Split!S53)/'Price Data'!S52</f>
        <v>3.1382651716970585E-2</v>
      </c>
      <c r="T53" s="7">
        <f>('Price Data'!T53*(1+'Stock Dividend'!T53+'Right Share Ratio'!T53)*Split!T53-'Price Data'!T52-'Right Share Ratio'!T53*'Right Share Offer Price'!T53*Split!T53)/'Price Data'!T52</f>
        <v>-0.11530398322851153</v>
      </c>
      <c r="U53" s="7">
        <f>('Price Data'!U53*(1+'Stock Dividend'!U53+'Right Share Ratio'!U53)*Split!U53-'Price Data'!U52-'Right Share Ratio'!U53*'Right Share Offer Price'!U53*Split!U53)/'Price Data'!U52</f>
        <v>-0.12182061579651952</v>
      </c>
      <c r="V53" s="7">
        <f>('Price Data'!V53*(1+'Stock Dividend'!V53+'Right Share Ratio'!V53)*Split!V53-'Price Data'!V52-'Right Share Ratio'!V53*'Right Share Offer Price'!V53*Split!V53)/'Price Data'!V52</f>
        <v>2.6695141484249863E-3</v>
      </c>
    </row>
    <row r="54" spans="1:22">
      <c r="A54" s="167"/>
      <c r="B54" s="16" t="s">
        <v>16</v>
      </c>
      <c r="C54" s="7">
        <f>('Price Data'!C54*(1+'Stock Dividend'!C54+'Right Share Ratio'!C54)*Split!C54-'Price Data'!C53-'Right Share Ratio'!C54*'Right Share Offer Price'!C54*Split!C54)/'Price Data'!C53</f>
        <v>-3.3772374197906116E-2</v>
      </c>
      <c r="D54" s="7">
        <f>('Price Data'!D54*(1+'Stock Dividend'!D54+'Right Share Ratio'!D54)*Split!D54-'Price Data'!D53-'Right Share Ratio'!D54*'Right Share Offer Price'!D54*Split!D54)/'Price Data'!D53</f>
        <v>4.504504504504505E-2</v>
      </c>
      <c r="E54" s="7">
        <f>('Price Data'!E54*(1+'Stock Dividend'!E54+'Right Share Ratio'!E54)*Split!E54-'Price Data'!E53-'Right Share Ratio'!E54*'Right Share Offer Price'!E54*Split!E54)/'Price Data'!E53</f>
        <v>-8.3720930232558166E-2</v>
      </c>
      <c r="F54" s="7">
        <f>('Price Data'!F54*(1+'Stock Dividend'!F54+'Right Share Ratio'!F54)*Split!F54-'Price Data'!F53-'Right Share Ratio'!F54*'Right Share Offer Price'!F54*Split!F54)/'Price Data'!F53</f>
        <v>-2.4590163934426191E-2</v>
      </c>
      <c r="G54" s="7">
        <f>('Price Data'!G54*(1+'Stock Dividend'!G54+'Right Share Ratio'!G54)*Split!G54-'Price Data'!G53-'Right Share Ratio'!G54*'Right Share Offer Price'!G54*Split!G54)/'Price Data'!G53</f>
        <v>-6.4665127020785154E-2</v>
      </c>
      <c r="H54" s="7">
        <f>('Price Data'!H54*(1+'Stock Dividend'!H54+'Right Share Ratio'!H54)*Split!H54-'Price Data'!H53-'Right Share Ratio'!H54*'Right Share Offer Price'!H54*Split!H54)/'Price Data'!H53</f>
        <v>-4.4025157232704469E-2</v>
      </c>
      <c r="I54" s="7">
        <f>('Price Data'!I54*(1+'Stock Dividend'!I54+'Right Share Ratio'!I54)*Split!I54-'Price Data'!I53-'Right Share Ratio'!I54*'Right Share Offer Price'!I54*Split!I54)/'Price Data'!I53</f>
        <v>-0.21745283018867928</v>
      </c>
      <c r="J54" s="7">
        <f>('Price Data'!J54*(1+'Stock Dividend'!J54+'Right Share Ratio'!J54)*Split!J54-'Price Data'!J53-'Right Share Ratio'!J54*'Right Share Offer Price'!J54*Split!J54)/'Price Data'!J53</f>
        <v>2.3029516704508483E-2</v>
      </c>
      <c r="K54" s="7">
        <f>('Price Data'!K54*(1+'Stock Dividend'!K54+'Right Share Ratio'!K54)*Split!K54-'Price Data'!K53-'Right Share Ratio'!K54*'Right Share Offer Price'!K54*Split!K54)/'Price Data'!K53</f>
        <v>-5.1816958277254299E-2</v>
      </c>
      <c r="L54" s="7">
        <f>('Price Data'!L54*(1+'Stock Dividend'!L54+'Right Share Ratio'!L54)*Split!L54-'Price Data'!L53-'Right Share Ratio'!L54*'Right Share Offer Price'!L54*Split!L54)/'Price Data'!L53</f>
        <v>-7.8996036988110821E-2</v>
      </c>
      <c r="M54" s="7">
        <f>('Price Data'!M54*(1+'Stock Dividend'!M54+'Right Share Ratio'!M54)*Split!M54-'Price Data'!M53-'Right Share Ratio'!M54*'Right Share Offer Price'!M54*Split!M54)/'Price Data'!M53</f>
        <v>-1.3464526152252691E-2</v>
      </c>
      <c r="N54" s="7">
        <f>('Price Data'!N54*(1+'Stock Dividend'!N54+'Right Share Ratio'!N54)*Split!N54-'Price Data'!N53-'Right Share Ratio'!N54*'Right Share Offer Price'!N54*Split!N54)/'Price Data'!N53</f>
        <v>-5.8076225045372104E-2</v>
      </c>
      <c r="O54" s="7">
        <f>('Price Data'!O54*(1+'Stock Dividend'!O54+'Right Share Ratio'!O54)*Split!O54-'Price Data'!O53-'Right Share Ratio'!O54*'Right Share Offer Price'!O54*Split!O54)/'Price Data'!O53</f>
        <v>-1.3761467889908178E-2</v>
      </c>
      <c r="P54" s="7">
        <f>('Price Data'!P54*(1+'Stock Dividend'!P54+'Right Share Ratio'!P54)*Split!P54-'Price Data'!P53-'Right Share Ratio'!P54*'Right Share Offer Price'!P54*Split!P54)/'Price Data'!P53</f>
        <v>7.1648954405210949E-2</v>
      </c>
      <c r="Q54" s="7">
        <f>('Price Data'!Q54*(1+'Stock Dividend'!Q54+'Right Share Ratio'!Q54)*Split!Q54-'Price Data'!Q53-'Right Share Ratio'!Q54*'Right Share Offer Price'!Q54*Split!Q54)/'Price Data'!Q53</f>
        <v>-7.0905763952424525E-2</v>
      </c>
      <c r="R54" s="7">
        <f>('Price Data'!R54*(1+'Stock Dividend'!R54+'Right Share Ratio'!R54)*Split!R54-'Price Data'!R53-'Right Share Ratio'!R54*'Right Share Offer Price'!R54*Split!R54)/'Price Data'!R53</f>
        <v>-1.6185885907488672E-2</v>
      </c>
      <c r="S54" s="7">
        <f>('Price Data'!S54*(1+'Stock Dividend'!S54+'Right Share Ratio'!S54)*Split!S54-'Price Data'!S53-'Right Share Ratio'!S54*'Right Share Offer Price'!S54*Split!S54)/'Price Data'!S53</f>
        <v>-3.8318526297862678E-2</v>
      </c>
      <c r="T54" s="7">
        <f>('Price Data'!T54*(1+'Stock Dividend'!T54+'Right Share Ratio'!T54)*Split!T54-'Price Data'!T53-'Right Share Ratio'!T54*'Right Share Offer Price'!T54*Split!T54)/'Price Data'!T53</f>
        <v>-1.6587677725118551E-2</v>
      </c>
      <c r="U54" s="7">
        <f>('Price Data'!U54*(1+'Stock Dividend'!U54+'Right Share Ratio'!U54)*Split!U54-'Price Data'!U53-'Right Share Ratio'!U54*'Right Share Offer Price'!U54*Split!U54)/'Price Data'!U53</f>
        <v>-7.4695121951219384E-2</v>
      </c>
      <c r="V54" s="7">
        <f>('Price Data'!V54*(1+'Stock Dividend'!V54+'Right Share Ratio'!V54)*Split!V54-'Price Data'!V53-'Right Share Ratio'!V54*'Right Share Offer Price'!V54*Split!V54)/'Price Data'!V53</f>
        <v>1.9701810436634656E-2</v>
      </c>
    </row>
    <row r="55" spans="1:22">
      <c r="A55" s="167"/>
      <c r="B55" s="16" t="s">
        <v>17</v>
      </c>
      <c r="C55" s="7">
        <f>('Price Data'!C55*(1+'Stock Dividend'!C55+'Right Share Ratio'!C55)*Split!C55-'Price Data'!C54-'Right Share Ratio'!C55*'Right Share Offer Price'!C55*Split!C55)/'Price Data'!C54</f>
        <v>-4.1069556099266019E-2</v>
      </c>
      <c r="D55" s="7">
        <f>('Price Data'!D55*(1+'Stock Dividend'!D55+'Right Share Ratio'!D55)*Split!D55-'Price Data'!D54-'Right Share Ratio'!D55*'Right Share Offer Price'!D55*Split!D55)/'Price Data'!D54</f>
        <v>5.1724137931034454E-2</v>
      </c>
      <c r="E55" s="7">
        <f>('Price Data'!E55*(1+'Stock Dividend'!E55+'Right Share Ratio'!E55)*Split!E55-'Price Data'!E54-'Right Share Ratio'!E55*'Right Share Offer Price'!E55*Split!E55)/'Price Data'!E54</f>
        <v>-4.0609137055837602E-2</v>
      </c>
      <c r="F55" s="7">
        <f>('Price Data'!F55*(1+'Stock Dividend'!F55+'Right Share Ratio'!F55)*Split!F55-'Price Data'!F54-'Right Share Ratio'!F55*'Right Share Offer Price'!F55*Split!F55)/'Price Data'!F54</f>
        <v>-3.0812324929972025E-2</v>
      </c>
      <c r="G55" s="7">
        <f>('Price Data'!G55*(1+'Stock Dividend'!G55+'Right Share Ratio'!G55)*Split!G55-'Price Data'!G54-'Right Share Ratio'!G55*'Right Share Offer Price'!G55*Split!G55)/'Price Data'!G54</f>
        <v>6.4197530864197563E-2</v>
      </c>
      <c r="H55" s="7">
        <f>('Price Data'!H55*(1+'Stock Dividend'!H55+'Right Share Ratio'!H55)*Split!H55-'Price Data'!H54-'Right Share Ratio'!H55*'Right Share Offer Price'!H55*Split!H55)/'Price Data'!H54</f>
        <v>3.2894736842105734E-3</v>
      </c>
      <c r="I55" s="7">
        <f>('Price Data'!I55*(1+'Stock Dividend'!I55+'Right Share Ratio'!I55)*Split!I55-'Price Data'!I54-'Right Share Ratio'!I55*'Right Share Offer Price'!I55*Split!I55)/'Price Data'!I54</f>
        <v>-4.9226441631504927E-2</v>
      </c>
      <c r="J55" s="7">
        <f>('Price Data'!J55*(1+'Stock Dividend'!J55+'Right Share Ratio'!J55)*Split!J55-'Price Data'!J54-'Right Share Ratio'!J55*'Right Share Offer Price'!J55*Split!J55)/'Price Data'!J54</f>
        <v>0.20577045022194052</v>
      </c>
      <c r="K55" s="7">
        <f>('Price Data'!K55*(1+'Stock Dividend'!K55+'Right Share Ratio'!K55)*Split!K55-'Price Data'!K54-'Right Share Ratio'!K55*'Right Share Offer Price'!K55*Split!K55)/'Price Data'!K54</f>
        <v>-2.4840312278211495E-2</v>
      </c>
      <c r="L55" s="7">
        <f>('Price Data'!L55*(1+'Stock Dividend'!L55+'Right Share Ratio'!L55)*Split!L55-'Price Data'!L54-'Right Share Ratio'!L55*'Right Share Offer Price'!L55*Split!L55)/'Price Data'!L54</f>
        <v>-1.656626506024109E-2</v>
      </c>
      <c r="M55" s="7">
        <f>('Price Data'!M55*(1+'Stock Dividend'!M55+'Right Share Ratio'!M55)*Split!M55-'Price Data'!M54-'Right Share Ratio'!M55*'Right Share Offer Price'!M55*Split!M55)/'Price Data'!M54</f>
        <v>-6.8241469816272965E-2</v>
      </c>
      <c r="N55" s="7">
        <f>('Price Data'!N55*(1+'Stock Dividend'!N55+'Right Share Ratio'!N55)*Split!N55-'Price Data'!N54-'Right Share Ratio'!N55*'Right Share Offer Price'!N55*Split!N55)/'Price Data'!N54</f>
        <v>-5.2023121387283155E-2</v>
      </c>
      <c r="O55" s="7">
        <f>('Price Data'!O55*(1+'Stock Dividend'!O55+'Right Share Ratio'!O55)*Split!O55-'Price Data'!O54-'Right Share Ratio'!O55*'Right Share Offer Price'!O55*Split!O55)/'Price Data'!O54</f>
        <v>-7.7280858676207598E-2</v>
      </c>
      <c r="P55" s="7">
        <f>('Price Data'!P55*(1+'Stock Dividend'!P55+'Right Share Ratio'!P55)*Split!P55-'Price Data'!P54-'Right Share Ratio'!P55*'Right Share Offer Price'!P55*Split!P55)/'Price Data'!P54</f>
        <v>4.4785668586051729E-3</v>
      </c>
      <c r="Q55" s="7">
        <f>('Price Data'!Q55*(1+'Stock Dividend'!Q55+'Right Share Ratio'!Q55)*Split!Q55-'Price Data'!Q54-'Right Share Ratio'!Q55*'Right Share Offer Price'!Q55*Split!Q55)/'Price Data'!Q54</f>
        <v>-3.5450516986706003E-2</v>
      </c>
      <c r="R55" s="7">
        <f>('Price Data'!R55*(1+'Stock Dividend'!R55+'Right Share Ratio'!R55)*Split!R55-'Price Data'!R54-'Right Share Ratio'!R55*'Right Share Offer Price'!R55*Split!R55)/'Price Data'!R54</f>
        <v>-2.2557765428487798E-2</v>
      </c>
      <c r="S55" s="7">
        <f>('Price Data'!S55*(1+'Stock Dividend'!S55+'Right Share Ratio'!S55)*Split!S55-'Price Data'!S54-'Right Share Ratio'!S55*'Right Share Offer Price'!S55*Split!S55)/'Price Data'!S54</f>
        <v>1.0713969481420319E-2</v>
      </c>
      <c r="T55" s="7">
        <f>('Price Data'!T55*(1+'Stock Dividend'!T55+'Right Share Ratio'!T55)*Split!T55-'Price Data'!T54-'Right Share Ratio'!T55*'Right Share Offer Price'!T55*Split!T55)/'Price Data'!T54</f>
        <v>-1.2048192771084338E-2</v>
      </c>
      <c r="U55" s="7">
        <f>('Price Data'!U55*(1+'Stock Dividend'!U55+'Right Share Ratio'!U55)*Split!U55-'Price Data'!U54-'Right Share Ratio'!U55*'Right Share Offer Price'!U55*Split!U55)/'Price Data'!U54</f>
        <v>-4.7775947281713436E-2</v>
      </c>
      <c r="V55" s="7">
        <f>('Price Data'!V55*(1+'Stock Dividend'!V55+'Right Share Ratio'!V55)*Split!V55-'Price Data'!V54-'Right Share Ratio'!V55*'Right Share Offer Price'!V55*Split!V55)/'Price Data'!V54</f>
        <v>-0.12323759791122713</v>
      </c>
    </row>
    <row r="56" spans="1:22">
      <c r="A56" s="166">
        <v>2026</v>
      </c>
      <c r="B56" s="15" t="s">
        <v>18</v>
      </c>
      <c r="C56" s="7">
        <f>('Price Data'!C56*(1+'Stock Dividend'!C56+'Right Share Ratio'!C56)*Split!C56-'Price Data'!C55-'Right Share Ratio'!C56*'Right Share Offer Price'!C56*Split!C56)/'Price Data'!C55</f>
        <v>0.17277200656096223</v>
      </c>
      <c r="D56" s="7">
        <f>('Price Data'!D56*(1+'Stock Dividend'!D56+'Right Share Ratio'!D56)*Split!D56-'Price Data'!D55-'Right Share Ratio'!D56*'Right Share Offer Price'!D56*Split!D56)/'Price Data'!D55</f>
        <v>4.9180327868852576E-2</v>
      </c>
      <c r="E56" s="7">
        <f>('Price Data'!E56*(1+'Stock Dividend'!E56+'Right Share Ratio'!E56)*Split!E56-'Price Data'!E55-'Right Share Ratio'!E56*'Right Share Offer Price'!E56*Split!E56)/'Price Data'!E55</f>
        <v>4.2328042328042367E-2</v>
      </c>
      <c r="F56" s="7">
        <f>('Price Data'!F56*(1+'Stock Dividend'!F56+'Right Share Ratio'!F56)*Split!F56-'Price Data'!F55-'Right Share Ratio'!F56*'Right Share Offer Price'!F56*Split!F56)/'Price Data'!F55</f>
        <v>8.3815028901734062E-2</v>
      </c>
      <c r="G56" s="7">
        <f>('Price Data'!G56*(1+'Stock Dividend'!G56+'Right Share Ratio'!G56)*Split!G56-'Price Data'!G55-'Right Share Ratio'!G56*'Right Share Offer Price'!G56*Split!G56)/'Price Data'!G55</f>
        <v>0.27610208816705334</v>
      </c>
      <c r="H56" s="7">
        <f>('Price Data'!H56*(1+'Stock Dividend'!H56+'Right Share Ratio'!H56)*Split!H56-'Price Data'!H55-'Right Share Ratio'!H56*'Right Share Offer Price'!H56*Split!H56)/'Price Data'!H55</f>
        <v>0.33770491803278679</v>
      </c>
      <c r="I56" s="7">
        <f>('Price Data'!I56*(1+'Stock Dividend'!I56+'Right Share Ratio'!I56)*Split!I56-'Price Data'!I55-'Right Share Ratio'!I56*'Right Share Offer Price'!I56*Split!I56)/'Price Data'!I55</f>
        <v>2.5147928994082885E-2</v>
      </c>
      <c r="J56" s="7">
        <f>('Price Data'!J56*(1+'Stock Dividend'!J56+'Right Share Ratio'!J56)*Split!J56-'Price Data'!J55-'Right Share Ratio'!J56*'Right Share Offer Price'!J56*Split!J56)/'Price Data'!J55</f>
        <v>0.15435182750460161</v>
      </c>
      <c r="K56" s="7">
        <f>('Price Data'!K56*(1+'Stock Dividend'!K56+'Right Share Ratio'!K56)*Split!K56-'Price Data'!K55-'Right Share Ratio'!K56*'Right Share Offer Price'!K56*Split!K56)/'Price Data'!K55</f>
        <v>4.9490538573507881E-2</v>
      </c>
      <c r="L56" s="7">
        <f>('Price Data'!L56*(1+'Stock Dividend'!L56+'Right Share Ratio'!L56)*Split!L56-'Price Data'!L55-'Right Share Ratio'!L56*'Right Share Offer Price'!L56*Split!L56)/'Price Data'!L55</f>
        <v>1.5313935681471444E-3</v>
      </c>
      <c r="M56" s="7">
        <f>('Price Data'!M56*(1+'Stock Dividend'!M56+'Right Share Ratio'!M56)*Split!M56-'Price Data'!M55-'Right Share Ratio'!M56*'Right Share Offer Price'!M56*Split!M56)/'Price Data'!M55</f>
        <v>2.8169014084507043E-2</v>
      </c>
      <c r="N56" s="7">
        <f>('Price Data'!N56*(1+'Stock Dividend'!N56+'Right Share Ratio'!N56)*Split!N56-'Price Data'!N55-'Right Share Ratio'!N56*'Right Share Offer Price'!N56*Split!N56)/'Price Data'!N55</f>
        <v>3.6585365853658479E-2</v>
      </c>
      <c r="O56" s="7">
        <f>('Price Data'!O56*(1+'Stock Dividend'!O56+'Right Share Ratio'!O56)*Split!O56-'Price Data'!O55-'Right Share Ratio'!O56*'Right Share Offer Price'!O56*Split!O56)/'Price Data'!O55</f>
        <v>3.8386971694455353E-2</v>
      </c>
      <c r="P56" s="7">
        <f>('Price Data'!P56*(1+'Stock Dividend'!P56+'Right Share Ratio'!P56)*Split!P56-'Price Data'!P55-'Right Share Ratio'!P56*'Right Share Offer Price'!P56*Split!P56)/'Price Data'!P55</f>
        <v>9.7452229299363133E-2</v>
      </c>
      <c r="Q56" s="7">
        <f>('Price Data'!Q56*(1+'Stock Dividend'!Q56+'Right Share Ratio'!Q56)*Split!Q56-'Price Data'!Q55-'Right Share Ratio'!Q56*'Right Share Offer Price'!Q56*Split!Q56)/'Price Data'!Q55</f>
        <v>7.5293517100561508E-2</v>
      </c>
      <c r="R56" s="7">
        <f>('Price Data'!R56*(1+'Stock Dividend'!R56+'Right Share Ratio'!R56)*Split!R56-'Price Data'!R55-'Right Share Ratio'!R56*'Right Share Offer Price'!R56*Split!R56)/'Price Data'!R55</f>
        <v>4.0059846642977334E-2</v>
      </c>
      <c r="S56" s="7">
        <f>('Price Data'!S56*(1+'Stock Dividend'!S56+'Right Share Ratio'!S56)*Split!S56-'Price Data'!S55-'Right Share Ratio'!S56*'Right Share Offer Price'!S56*Split!S56)/'Price Data'!S55</f>
        <v>1.3374605770353851E-2</v>
      </c>
      <c r="T56" s="7">
        <f>('Price Data'!T56*(1+'Stock Dividend'!T56+'Right Share Ratio'!T56)*Split!T56-'Price Data'!T55-'Right Share Ratio'!T56*'Right Share Offer Price'!T56*Split!T56)/'Price Data'!T55</f>
        <v>-1.2195121951219513E-2</v>
      </c>
      <c r="U56" s="7">
        <f>('Price Data'!U56*(1+'Stock Dividend'!U56+'Right Share Ratio'!U56)*Split!U56-'Price Data'!U55-'Right Share Ratio'!U56*'Right Share Offer Price'!U56*Split!U56)/'Price Data'!U55</f>
        <v>7.439446366782014E-2</v>
      </c>
      <c r="V56" s="7">
        <f>('Price Data'!V56*(1+'Stock Dividend'!V56+'Right Share Ratio'!V56)*Split!V56-'Price Data'!V55-'Right Share Ratio'!V56*'Right Share Offer Price'!V56*Split!V56)/'Price Data'!V55</f>
        <v>9.5294818344252193E-3</v>
      </c>
    </row>
    <row r="57" spans="1:22">
      <c r="A57" s="166"/>
      <c r="B57" s="15" t="s">
        <v>19</v>
      </c>
      <c r="C57" s="7">
        <f>('Price Data'!C57*(1+'Stock Dividend'!C57+'Right Share Ratio'!C57)*Split!C57-'Price Data'!C56-'Right Share Ratio'!C57*'Right Share Offer Price'!C57*Split!C57)/'Price Data'!C56</f>
        <v>0.18243978243978259</v>
      </c>
      <c r="D57" s="7">
        <f>('Price Data'!D57*(1+'Stock Dividend'!D57+'Right Share Ratio'!D57)*Split!D57-'Price Data'!D56-'Right Share Ratio'!D57*'Right Share Offer Price'!D57*Split!D57)/'Price Data'!D56</f>
        <v>3.90625E-2</v>
      </c>
      <c r="E57" s="7">
        <f>('Price Data'!E57*(1+'Stock Dividend'!E57+'Right Share Ratio'!E57)*Split!E57-'Price Data'!E56-'Right Share Ratio'!E57*'Right Share Offer Price'!E57*Split!E57)/'Price Data'!E56</f>
        <v>4.0609137055837602E-2</v>
      </c>
      <c r="F57" s="7">
        <f>('Price Data'!F57*(1+'Stock Dividend'!F57+'Right Share Ratio'!F57)*Split!F57-'Price Data'!F56-'Right Share Ratio'!F57*'Right Share Offer Price'!F57*Split!F57)/'Price Data'!F56</f>
        <v>3.7333333333333295E-2</v>
      </c>
      <c r="G57" s="7">
        <f>('Price Data'!G57*(1+'Stock Dividend'!G57+'Right Share Ratio'!G57)*Split!G57-'Price Data'!G56-'Right Share Ratio'!G57*'Right Share Offer Price'!G57*Split!G57)/'Price Data'!G56</f>
        <v>-3.0909090909090962E-2</v>
      </c>
      <c r="H57" s="7">
        <f>('Price Data'!H57*(1+'Stock Dividend'!H57+'Right Share Ratio'!H57)*Split!H57-'Price Data'!H56-'Right Share Ratio'!H57*'Right Share Offer Price'!H57*Split!H57)/'Price Data'!H56</f>
        <v>-5.6372549019607775E-2</v>
      </c>
      <c r="I57" s="7">
        <f>('Price Data'!I57*(1+'Stock Dividend'!I57+'Right Share Ratio'!I57)*Split!I57-'Price Data'!I56-'Right Share Ratio'!I57*'Right Share Offer Price'!I57*Split!I57)/'Price Data'!I56</f>
        <v>1.0101010101010142E-2</v>
      </c>
      <c r="J57" s="7">
        <f>('Price Data'!J57*(1+'Stock Dividend'!J57+'Right Share Ratio'!J57)*Split!J57-'Price Data'!J56-'Right Share Ratio'!J57*'Right Share Offer Price'!J57*Split!J57)/'Price Data'!J56</f>
        <v>7.2665148063781271E-2</v>
      </c>
      <c r="K57" s="7">
        <f>('Price Data'!K57*(1+'Stock Dividend'!K57+'Right Share Ratio'!K57)*Split!K57-'Price Data'!K56-'Right Share Ratio'!K57*'Right Share Offer Price'!K57*Split!K57)/'Price Data'!K56</f>
        <v>9.4313453536754674E-2</v>
      </c>
      <c r="L57" s="7">
        <f>('Price Data'!L57*(1+'Stock Dividend'!L57+'Right Share Ratio'!L57)*Split!L57-'Price Data'!L56-'Right Share Ratio'!L57*'Right Share Offer Price'!L57*Split!L57)/'Price Data'!L56</f>
        <v>5.657492354740043E-2</v>
      </c>
      <c r="M57" s="7">
        <f>('Price Data'!M57*(1+'Stock Dividend'!M57+'Right Share Ratio'!M57)*Split!M57-'Price Data'!M56-'Right Share Ratio'!M57*'Right Share Offer Price'!M57*Split!M57)/'Price Data'!M56</f>
        <v>5.0410958904109529E-2</v>
      </c>
      <c r="N57" s="7">
        <f>('Price Data'!N57*(1+'Stock Dividend'!N57+'Right Share Ratio'!N57)*Split!N57-'Price Data'!N56-'Right Share Ratio'!N57*'Right Share Offer Price'!N57*Split!N57)/'Price Data'!N56</f>
        <v>0.36862745098039212</v>
      </c>
      <c r="O57" s="7">
        <f>('Price Data'!O57*(1+'Stock Dividend'!O57+'Right Share Ratio'!O57)*Split!O57-'Price Data'!O56-'Right Share Ratio'!O57*'Right Share Offer Price'!O57*Split!O57)/'Price Data'!O56</f>
        <v>-2.1284540702016387E-2</v>
      </c>
      <c r="P57" s="7">
        <f>('Price Data'!P57*(1+'Stock Dividend'!P57+'Right Share Ratio'!P57)*Split!P57-'Price Data'!P56-'Right Share Ratio'!P57*'Right Share Offer Price'!P57*Split!P57)/'Price Data'!P56</f>
        <v>-4.2658154381892181E-2</v>
      </c>
      <c r="Q57" s="7">
        <f>('Price Data'!Q57*(1+'Stock Dividend'!Q57+'Right Share Ratio'!Q57)*Split!Q57-'Price Data'!Q56-'Right Share Ratio'!Q57*'Right Share Offer Price'!Q57*Split!Q57)/'Price Data'!Q56</f>
        <v>7.7616900071208139E-2</v>
      </c>
      <c r="R57" s="7">
        <f>('Price Data'!R57*(1+'Stock Dividend'!R57+'Right Share Ratio'!R57)*Split!R57-'Price Data'!R56-'Right Share Ratio'!R57*'Right Share Offer Price'!R57*Split!R57)/'Price Data'!R56</f>
        <v>3.4704739984176079E-2</v>
      </c>
      <c r="S57" s="7">
        <f>('Price Data'!S57*(1+'Stock Dividend'!S57+'Right Share Ratio'!S57)*Split!S57-'Price Data'!S56-'Right Share Ratio'!S57*'Right Share Offer Price'!S57*Split!S57)/'Price Data'!S56</f>
        <v>2.633853956544294E-2</v>
      </c>
      <c r="T57" s="7">
        <f>('Price Data'!T57*(1+'Stock Dividend'!T57+'Right Share Ratio'!T57)*Split!T57-'Price Data'!T56-'Right Share Ratio'!T57*'Right Share Offer Price'!T57*Split!T57)/'Price Data'!T56</f>
        <v>4.6913580246913548E-2</v>
      </c>
      <c r="U57" s="7">
        <f>('Price Data'!U57*(1+'Stock Dividend'!U57+'Right Share Ratio'!U57)*Split!U57-'Price Data'!U56-'Right Share Ratio'!U57*'Right Share Offer Price'!U57*Split!U57)/'Price Data'!U56</f>
        <v>4.3478260869565147E-2</v>
      </c>
      <c r="V57" s="7">
        <f>('Price Data'!V57*(1+'Stock Dividend'!V57+'Right Share Ratio'!V57)*Split!V57-'Price Data'!V56-'Right Share Ratio'!V57*'Right Share Offer Price'!V57*Split!V57)/'Price Data'!V56</f>
        <v>4.4247787610619468E-2</v>
      </c>
    </row>
    <row r="58" spans="1:22">
      <c r="A58" s="166"/>
      <c r="B58" s="15" t="s">
        <v>20</v>
      </c>
      <c r="C58" s="7">
        <f>('Price Data'!C58*(1+'Stock Dividend'!C58+'Right Share Ratio'!C58)*Split!C58-'Price Data'!C57-'Right Share Ratio'!C58*'Right Share Offer Price'!C58*Split!C58)/'Price Data'!C57</f>
        <v>-0.23432776974635305</v>
      </c>
      <c r="D58" s="7">
        <f>('Price Data'!D58*(1+'Stock Dividend'!D58+'Right Share Ratio'!D58)*Split!D58-'Price Data'!D57-'Right Share Ratio'!D58*'Right Share Offer Price'!D58*Split!D58)/'Price Data'!D57</f>
        <v>-3.7593984962406013E-2</v>
      </c>
      <c r="E58" s="7">
        <f>('Price Data'!E58*(1+'Stock Dividend'!E58+'Right Share Ratio'!E58)*Split!E58-'Price Data'!E57-'Right Share Ratio'!E58*'Right Share Offer Price'!E58*Split!E58)/'Price Data'!E57</f>
        <v>-8.7804878048780524E-2</v>
      </c>
      <c r="F58" s="7">
        <f>('Price Data'!F58*(1+'Stock Dividend'!F58+'Right Share Ratio'!F58)*Split!F58-'Price Data'!F57-'Right Share Ratio'!F58*'Right Share Offer Price'!F58*Split!F58)/'Price Data'!F57</f>
        <v>-6.4267352185089971E-2</v>
      </c>
      <c r="G58" s="7">
        <f>('Price Data'!G58*(1+'Stock Dividend'!G58+'Right Share Ratio'!G58)*Split!G58-'Price Data'!G57-'Right Share Ratio'!G58*'Right Share Offer Price'!G58*Split!G58)/'Price Data'!G57</f>
        <v>-1.8761726078799251E-2</v>
      </c>
      <c r="H58" s="7">
        <f>('Price Data'!H58*(1+'Stock Dividend'!H58+'Right Share Ratio'!H58)*Split!H58-'Price Data'!H57-'Right Share Ratio'!H58*'Right Share Offer Price'!H58*Split!H58)/'Price Data'!H57</f>
        <v>-3.6363636363636327E-2</v>
      </c>
      <c r="I58" s="7">
        <f>('Price Data'!I58*(1+'Stock Dividend'!I58+'Right Share Ratio'!I58)*Split!I58-'Price Data'!I57-'Right Share Ratio'!I58*'Right Share Offer Price'!I58*Split!I58)/'Price Data'!I57</f>
        <v>-1.857142857142853E-2</v>
      </c>
      <c r="J58" s="7">
        <f>('Price Data'!J58*(1+'Stock Dividend'!J58+'Right Share Ratio'!J58)*Split!J58-'Price Data'!J57-'Right Share Ratio'!J58*'Right Share Offer Price'!J58*Split!J58)/'Price Data'!J57</f>
        <v>2.9093225737948706E-2</v>
      </c>
      <c r="K58" s="7">
        <f>('Price Data'!K58*(1+'Stock Dividend'!K58+'Right Share Ratio'!K58)*Split!K58-'Price Data'!K57-'Right Share Ratio'!K58*'Right Share Offer Price'!K58*Split!K58)/'Price Data'!K57</f>
        <v>-6.7807351077313158E-2</v>
      </c>
      <c r="L58" s="7">
        <f>('Price Data'!L58*(1+'Stock Dividend'!L58+'Right Share Ratio'!L58)*Split!L58-'Price Data'!L57-'Right Share Ratio'!L58*'Right Share Offer Price'!L58*Split!L58)/'Price Data'!L57</f>
        <v>-6.9464544138929052E-2</v>
      </c>
      <c r="M58" s="7">
        <f>('Price Data'!M58*(1+'Stock Dividend'!M58+'Right Share Ratio'!M58)*Split!M58-'Price Data'!M57-'Right Share Ratio'!M58*'Right Share Offer Price'!M58*Split!M58)/'Price Data'!M57</f>
        <v>-4.0166927490871099E-2</v>
      </c>
      <c r="N58" s="7">
        <f>('Price Data'!N58*(1+'Stock Dividend'!N58+'Right Share Ratio'!N58)*Split!N58-'Price Data'!N57-'Right Share Ratio'!N58*'Right Share Offer Price'!N58*Split!N58)/'Price Data'!N57</f>
        <v>-0.13610315186246419</v>
      </c>
      <c r="O58" s="7">
        <f>('Price Data'!O58*(1+'Stock Dividend'!O58+'Right Share Ratio'!O58)*Split!O58-'Price Data'!O57-'Right Share Ratio'!O58*'Right Share Offer Price'!O58*Split!O58)/'Price Data'!O57</f>
        <v>-6.9057611598626556E-2</v>
      </c>
      <c r="P58" s="7">
        <f>('Price Data'!P58*(1+'Stock Dividend'!P58+'Right Share Ratio'!P58)*Split!P58-'Price Data'!P57-'Right Share Ratio'!P58*'Right Share Offer Price'!P58*Split!P58)/'Price Data'!P57</f>
        <v>-4.2740224310396986E-2</v>
      </c>
      <c r="Q58" s="7">
        <f>('Price Data'!Q58*(1+'Stock Dividend'!Q58+'Right Share Ratio'!Q58)*Split!Q58-'Price Data'!Q57-'Right Share Ratio'!Q58*'Right Share Offer Price'!Q58*Split!Q58)/'Price Data'!Q57</f>
        <v>-6.7841409691629981E-2</v>
      </c>
      <c r="R58" s="7">
        <f>('Price Data'!R58*(1+'Stock Dividend'!R58+'Right Share Ratio'!R58)*Split!R58-'Price Data'!R57-'Right Share Ratio'!R58*'Right Share Offer Price'!R58*Split!R58)/'Price Data'!R57</f>
        <v>-5.0502241840742319E-2</v>
      </c>
      <c r="S58" s="7">
        <f>('Price Data'!S58*(1+'Stock Dividend'!S58+'Right Share Ratio'!S58)*Split!S58-'Price Data'!S57-'Right Share Ratio'!S58*'Right Share Offer Price'!S58*Split!S58)/'Price Data'!S57</f>
        <v>-2.4539532794249801E-2</v>
      </c>
      <c r="T58" s="7">
        <f>('Price Data'!T58*(1+'Stock Dividend'!T58+'Right Share Ratio'!T58)*Split!T58-'Price Data'!T57-'Right Share Ratio'!T58*'Right Share Offer Price'!T58*Split!T58)/'Price Data'!T57</f>
        <v>-6.8396226415094311E-2</v>
      </c>
      <c r="U58" s="7">
        <f>('Price Data'!U58*(1+'Stock Dividend'!U58+'Right Share Ratio'!U58)*Split!U58-'Price Data'!U57-'Right Share Ratio'!U58*'Right Share Offer Price'!U58*Split!U58)/'Price Data'!U57</f>
        <v>-0.1080246913580247</v>
      </c>
      <c r="V58" s="7">
        <f>('Price Data'!V58*(1+'Stock Dividend'!V58+'Right Share Ratio'!V58)*Split!V58-'Price Data'!V57-'Right Share Ratio'!V58*'Right Share Offer Price'!V58*Split!V58)/'Price Data'!V57</f>
        <v>-3.3333333333333368E-2</v>
      </c>
    </row>
    <row r="59" spans="1:22">
      <c r="A59" s="166"/>
      <c r="B59" s="15" t="s">
        <v>21</v>
      </c>
      <c r="C59" s="7">
        <f>('Price Data'!C59*(1+'Stock Dividend'!C59+'Right Share Ratio'!C59)*Split!C59-'Price Data'!C58-'Right Share Ratio'!C59*'Right Share Offer Price'!C59*Split!C59)/'Price Data'!C58</f>
        <v>9.2516306213525593E-2</v>
      </c>
      <c r="D59" s="7">
        <f>('Price Data'!D59*(1+'Stock Dividend'!D59+'Right Share Ratio'!D59)*Split!D59-'Price Data'!D58-'Right Share Ratio'!D59*'Right Share Offer Price'!D59*Split!D59)/'Price Data'!D58</f>
        <v>0.32031249999999983</v>
      </c>
      <c r="E59" s="7">
        <f>('Price Data'!E59*(1+'Stock Dividend'!E59+'Right Share Ratio'!E59)*Split!E59-'Price Data'!E58-'Right Share Ratio'!E59*'Right Share Offer Price'!E59*Split!E59)/'Price Data'!E58</f>
        <v>5.3475935828877766E-3</v>
      </c>
      <c r="F59" s="7">
        <f>('Price Data'!F59*(1+'Stock Dividend'!F59+'Right Share Ratio'!F59)*Split!F59-'Price Data'!F58-'Right Share Ratio'!F59*'Right Share Offer Price'!F59*Split!F59)/'Price Data'!F58</f>
        <v>4.670329670329678E-2</v>
      </c>
      <c r="G59" s="7">
        <f>('Price Data'!G59*(1+'Stock Dividend'!G59+'Right Share Ratio'!G59)*Split!G59-'Price Data'!G58-'Right Share Ratio'!G59*'Right Share Offer Price'!G59*Split!G59)/'Price Data'!G58</f>
        <v>1.529636711281079E-2</v>
      </c>
      <c r="H59" s="7">
        <f>('Price Data'!H59*(1+'Stock Dividend'!H59+'Right Share Ratio'!H59)*Split!H59-'Price Data'!H58-'Right Share Ratio'!H59*'Right Share Offer Price'!H59*Split!H59)/'Price Data'!H58</f>
        <v>1.8867924528301772E-2</v>
      </c>
      <c r="I59" s="7">
        <f>('Price Data'!I59*(1+'Stock Dividend'!I59+'Right Share Ratio'!I59)*Split!I59-'Price Data'!I58-'Right Share Ratio'!I59*'Right Share Offer Price'!I59*Split!I59)/'Price Data'!I58</f>
        <v>0.23289665211062591</v>
      </c>
      <c r="J59" s="7">
        <f>('Price Data'!J59*(1+'Stock Dividend'!J59+'Right Share Ratio'!J59)*Split!J59-'Price Data'!J58-'Right Share Ratio'!J59*'Right Share Offer Price'!J59*Split!J59)/'Price Data'!J58</f>
        <v>9.5542715641766307E-2</v>
      </c>
      <c r="K59" s="7">
        <f>('Price Data'!K59*(1+'Stock Dividend'!K59+'Right Share Ratio'!K59)*Split!K59-'Price Data'!K58-'Right Share Ratio'!K59*'Right Share Offer Price'!K59*Split!K59)/'Price Data'!K58</f>
        <v>-3.3990482664853841E-2</v>
      </c>
      <c r="L59" s="7">
        <f>('Price Data'!L59*(1+'Stock Dividend'!L59+'Right Share Ratio'!L59)*Split!L59-'Price Data'!L58-'Right Share Ratio'!L59*'Right Share Offer Price'!L59*Split!L59)/'Price Data'!L58</f>
        <v>9.4867807153965922E-2</v>
      </c>
      <c r="M59" s="7">
        <f>('Price Data'!M59*(1+'Stock Dividend'!M59+'Right Share Ratio'!M59)*Split!M59-'Price Data'!M58-'Right Share Ratio'!M59*'Right Share Offer Price'!M59*Split!M59)/'Price Data'!M58</f>
        <v>5.434782608695652E-2</v>
      </c>
      <c r="N59" s="7">
        <f>('Price Data'!N59*(1+'Stock Dividend'!N59+'Right Share Ratio'!N59)*Split!N59-'Price Data'!N58-'Right Share Ratio'!N59*'Right Share Offer Price'!N59*Split!N59)/'Price Data'!N58</f>
        <v>6.3018242122719684E-2</v>
      </c>
      <c r="O59" s="7">
        <f>('Price Data'!O59*(1+'Stock Dividend'!O59+'Right Share Ratio'!O59)*Split!O59-'Price Data'!O58-'Right Share Ratio'!O59*'Right Share Offer Price'!O59*Split!O59)/'Price Data'!O58</f>
        <v>-4.0983606557377051E-3</v>
      </c>
      <c r="P59" s="7">
        <f>('Price Data'!P59*(1+'Stock Dividend'!P59+'Right Share Ratio'!P59)*Split!P59-'Price Data'!P58-'Right Share Ratio'!P59*'Right Share Offer Price'!P59*Split!P59)/'Price Data'!P58</f>
        <v>-1.8366054464851206E-2</v>
      </c>
      <c r="Q59" s="7">
        <f>('Price Data'!Q59*(1+'Stock Dividend'!Q59+'Right Share Ratio'!Q59)*Split!Q59-'Price Data'!Q58-'Right Share Ratio'!Q59*'Right Share Offer Price'!Q59*Split!Q59)/'Price Data'!Q58</f>
        <v>-1.6304347826086904E-2</v>
      </c>
      <c r="R59" s="7">
        <f>('Price Data'!R59*(1+'Stock Dividend'!R59+'Right Share Ratio'!R59)*Split!R59-'Price Data'!R58-'Right Share Ratio'!R59*'Right Share Offer Price'!R59*Split!R59)/'Price Data'!R58</f>
        <v>1.3507577421480208E-2</v>
      </c>
      <c r="S59" s="7">
        <f>('Price Data'!S59*(1+'Stock Dividend'!S59+'Right Share Ratio'!S59)*Split!S59-'Price Data'!S58-'Right Share Ratio'!S59*'Right Share Offer Price'!S59*Split!S59)/'Price Data'!S58</f>
        <v>-1.0937769846294766E-3</v>
      </c>
      <c r="T59" s="7">
        <f>('Price Data'!T59*(1+'Stock Dividend'!T59+'Right Share Ratio'!T59)*Split!T59-'Price Data'!T58-'Right Share Ratio'!T59*'Right Share Offer Price'!T59*Split!T59)/'Price Data'!T58</f>
        <v>0.16202531645569618</v>
      </c>
      <c r="U59" s="7">
        <f>('Price Data'!U59*(1+'Stock Dividend'!U59+'Right Share Ratio'!U59)*Split!U59-'Price Data'!U58-'Right Share Ratio'!U59*'Right Share Offer Price'!U59*Split!U59)/'Price Data'!U58</f>
        <v>4.1522491349481071E-2</v>
      </c>
      <c r="V59" s="7">
        <f>('Price Data'!V59*(1+'Stock Dividend'!V59+'Right Share Ratio'!V59)*Split!V59-'Price Data'!V58-'Right Share Ratio'!V59*'Right Share Offer Price'!V59*Split!V59)/'Price Data'!V58</f>
        <v>-9.3512565751022458E-3</v>
      </c>
    </row>
    <row r="60" spans="1:22">
      <c r="A60" s="166"/>
      <c r="B60" s="15" t="s">
        <v>22</v>
      </c>
      <c r="C60" s="7">
        <f>('Price Data'!C60*(1+'Stock Dividend'!C60+'Right Share Ratio'!C60)*Split!C60-'Price Data'!C59-'Right Share Ratio'!C60*'Right Share Offer Price'!C60*Split!C60)/'Price Data'!C59</f>
        <v>0.21594658287509816</v>
      </c>
      <c r="D60" s="7">
        <f>('Price Data'!D60*(1+'Stock Dividend'!D60+'Right Share Ratio'!D60)*Split!D60-'Price Data'!D59-'Right Share Ratio'!D60*'Right Share Offer Price'!D60*Split!D60)/'Price Data'!D59</f>
        <v>-0.10153846153846151</v>
      </c>
      <c r="E60" s="7">
        <f>('Price Data'!E60*(1+'Stock Dividend'!E60+'Right Share Ratio'!E60)*Split!E60-'Price Data'!E59-'Right Share Ratio'!E60*'Right Share Offer Price'!E60*Split!E60)/'Price Data'!E59</f>
        <v>5.319148936170099E-3</v>
      </c>
      <c r="F60" s="7">
        <f>('Price Data'!F60*(1+'Stock Dividend'!F60+'Right Share Ratio'!F60)*Split!F60-'Price Data'!F59-'Right Share Ratio'!F60*'Right Share Offer Price'!F60*Split!F60)/'Price Data'!F59</f>
        <v>-2.09973753280841E-2</v>
      </c>
      <c r="G60" s="7">
        <f>('Price Data'!G60*(1+'Stock Dividend'!G60+'Right Share Ratio'!G60)*Split!G60-'Price Data'!G59-'Right Share Ratio'!G60*'Right Share Offer Price'!G60*Split!G60)/'Price Data'!G59</f>
        <v>-4.1431261770244872E-2</v>
      </c>
      <c r="H60" s="7">
        <f>('Price Data'!H60*(1+'Stock Dividend'!H60+'Right Share Ratio'!H60)*Split!H60-'Price Data'!H59-'Right Share Ratio'!H60*'Right Share Offer Price'!H60*Split!H60)/'Price Data'!H59</f>
        <v>0.11111111111111119</v>
      </c>
      <c r="I60" s="7">
        <f>('Price Data'!I60*(1+'Stock Dividend'!I60+'Right Share Ratio'!I60)*Split!I60-'Price Data'!I59-'Right Share Ratio'!I60*'Right Share Offer Price'!I60*Split!I60)/'Price Data'!I59</f>
        <v>-0.10743801652892572</v>
      </c>
      <c r="J60" s="7">
        <f>('Price Data'!J60*(1+'Stock Dividend'!J60+'Right Share Ratio'!J60)*Split!J60-'Price Data'!J59-'Right Share Ratio'!J60*'Right Share Offer Price'!J60*Split!J60)/'Price Data'!J59</f>
        <v>8.6833678658881197E-2</v>
      </c>
      <c r="K60" s="7">
        <f>('Price Data'!K60*(1+'Stock Dividend'!K60+'Right Share Ratio'!K60)*Split!K60-'Price Data'!K59-'Right Share Ratio'!K60*'Right Share Offer Price'!K60*Split!K60)/'Price Data'!K59</f>
        <v>6.3335679099226303E-3</v>
      </c>
      <c r="L60" s="7">
        <f>('Price Data'!L60*(1+'Stock Dividend'!L60+'Right Share Ratio'!L60)*Split!L60-'Price Data'!L59-'Right Share Ratio'!L60*'Right Share Offer Price'!L60*Split!L60)/'Price Data'!L59</f>
        <v>2.5568181818181775E-2</v>
      </c>
      <c r="M60" s="7">
        <f>('Price Data'!M60*(1+'Stock Dividend'!M60+'Right Share Ratio'!M60)*Split!M60-'Price Data'!M59-'Right Share Ratio'!M60*'Right Share Offer Price'!M60*Split!M60)/'Price Data'!M59</f>
        <v>3.6597938144329871E-2</v>
      </c>
      <c r="N60" s="7">
        <f>('Price Data'!N60*(1+'Stock Dividend'!N60+'Right Share Ratio'!N60)*Split!N60-'Price Data'!N59-'Right Share Ratio'!N60*'Right Share Offer Price'!N60*Split!N60)/'Price Data'!N59</f>
        <v>-3.120124804992189E-2</v>
      </c>
      <c r="O60" s="7">
        <f>('Price Data'!O60*(1+'Stock Dividend'!O60+'Right Share Ratio'!O60)*Split!O60-'Price Data'!O59-'Right Share Ratio'!O60*'Right Share Offer Price'!O60*Split!O60)/'Price Data'!O59</f>
        <v>-8.23045267489712E-3</v>
      </c>
      <c r="P60" s="7">
        <f>('Price Data'!P60*(1+'Stock Dividend'!P60+'Right Share Ratio'!P60)*Split!P60-'Price Data'!P59-'Right Share Ratio'!P60*'Right Share Offer Price'!P60*Split!P60)/'Price Data'!P59</f>
        <v>1.7741935483870968E-2</v>
      </c>
      <c r="Q60" s="7">
        <f>('Price Data'!Q60*(1+'Stock Dividend'!Q60+'Right Share Ratio'!Q60)*Split!Q60-'Price Data'!Q59-'Right Share Ratio'!Q60*'Right Share Offer Price'!Q60*Split!Q60)/'Price Data'!Q59</f>
        <v>-5.5248618784530662E-3</v>
      </c>
      <c r="R60" s="7">
        <f>('Price Data'!R60*(1+'Stock Dividend'!R60+'Right Share Ratio'!R60)*Split!R60-'Price Data'!R59-'Right Share Ratio'!R60*'Right Share Offer Price'!R60*Split!R60)/'Price Data'!R59</f>
        <v>-3.1783869686133302E-3</v>
      </c>
      <c r="S60" s="7">
        <f>('Price Data'!S60*(1+'Stock Dividend'!S60+'Right Share Ratio'!S60)*Split!S60-'Price Data'!S59-'Right Share Ratio'!S60*'Right Share Offer Price'!S60*Split!S60)/'Price Data'!S59</f>
        <v>-5.4287690179806385E-2</v>
      </c>
      <c r="T60" s="7">
        <f>('Price Data'!T60*(1+'Stock Dividend'!T60+'Right Share Ratio'!T60)*Split!T60-'Price Data'!T59-'Right Share Ratio'!T60*'Right Share Offer Price'!T60*Split!T60)/'Price Data'!T59</f>
        <v>8.0610021786492445E-2</v>
      </c>
      <c r="U60" s="7">
        <f>('Price Data'!U60*(1+'Stock Dividend'!U60+'Right Share Ratio'!U60)*Split!U60-'Price Data'!U59-'Right Share Ratio'!U60*'Right Share Offer Price'!U60*Split!U60)/'Price Data'!U59</f>
        <v>2.65780730897009E-2</v>
      </c>
      <c r="V60" s="7">
        <f>('Price Data'!V60*(1+'Stock Dividend'!V60+'Right Share Ratio'!V60)*Split!V60-'Price Data'!V59-'Right Share Ratio'!V60*'Right Share Offer Price'!V60*Split!V60)/'Price Data'!V59</f>
        <v>-5.8997050147492625E-3</v>
      </c>
    </row>
    <row r="61" spans="1:22">
      <c r="A61" s="166"/>
      <c r="B61" s="15" t="s">
        <v>23</v>
      </c>
      <c r="C61" s="7">
        <f>('Price Data'!C61*(1+'Stock Dividend'!C61+'Right Share Ratio'!C61)*Split!C61-'Price Data'!C60-'Right Share Ratio'!C61*'Right Share Offer Price'!C61*Split!C61)/'Price Data'!C60</f>
        <v>-2.67459138187221E-2</v>
      </c>
      <c r="D61" s="7">
        <f>('Price Data'!D61*(1+'Stock Dividend'!D61+'Right Share Ratio'!D61)*Split!D61-'Price Data'!D60-'Right Share Ratio'!D61*'Right Share Offer Price'!D61*Split!D61)/'Price Data'!D60</f>
        <v>9.5890410958904132E-2</v>
      </c>
      <c r="E61" s="7">
        <f>('Price Data'!E61*(1+'Stock Dividend'!E61+'Right Share Ratio'!E61)*Split!E61-'Price Data'!E60-'Right Share Ratio'!E61*'Right Share Offer Price'!E61*Split!E61)/'Price Data'!E60</f>
        <v>0.82777777777777806</v>
      </c>
      <c r="F61" s="7">
        <f>('Price Data'!F61*(1+'Stock Dividend'!F61+'Right Share Ratio'!F61)*Split!F61-'Price Data'!F60-'Right Share Ratio'!F61*'Right Share Offer Price'!F61*Split!F61)/'Price Data'!F60</f>
        <v>9.9195710455764155E-2</v>
      </c>
      <c r="G61" s="7">
        <f>('Price Data'!G61*(1+'Stock Dividend'!G61+'Right Share Ratio'!G61)*Split!G61-'Price Data'!G60-'Right Share Ratio'!G61*'Right Share Offer Price'!G61*Split!G61)/'Price Data'!G60</f>
        <v>0.26326129666011788</v>
      </c>
      <c r="H61" s="7">
        <f>('Price Data'!H61*(1+'Stock Dividend'!H61+'Right Share Ratio'!H61)*Split!H61-'Price Data'!H60-'Right Share Ratio'!H61*'Right Share Offer Price'!H61*Split!H61)/'Price Data'!H60</f>
        <v>8.0952380952380915E-2</v>
      </c>
      <c r="I61" s="7">
        <f>('Price Data'!I61*(1+'Stock Dividend'!I61+'Right Share Ratio'!I61)*Split!I61-'Price Data'!I60-'Right Share Ratio'!I61*'Right Share Offer Price'!I61*Split!I61)/'Price Data'!I60</f>
        <v>-6.216931216931202E-2</v>
      </c>
      <c r="J61" s="7">
        <f>('Price Data'!J61*(1+'Stock Dividend'!J61+'Right Share Ratio'!J61)*Split!J61-'Price Data'!J60-'Right Share Ratio'!J61*'Right Share Offer Price'!J61*Split!J61)/'Price Data'!J60</f>
        <v>-0.10935875216637786</v>
      </c>
      <c r="K61" s="7">
        <f>('Price Data'!K61*(1+'Stock Dividend'!K61+'Right Share Ratio'!K61)*Split!K61-'Price Data'!K60-'Right Share Ratio'!K61*'Right Share Offer Price'!K61*Split!K61)/'Price Data'!K60</f>
        <v>8.3916083916083919E-2</v>
      </c>
      <c r="L61" s="7">
        <f>('Price Data'!L61*(1+'Stock Dividend'!L61+'Right Share Ratio'!L61)*Split!L61-'Price Data'!L60-'Right Share Ratio'!L61*'Right Share Offer Price'!L61*Split!L61)/'Price Data'!L60</f>
        <v>1.2465373961218718E-2</v>
      </c>
      <c r="M61" s="7">
        <f>('Price Data'!M61*(1+'Stock Dividend'!M61+'Right Share Ratio'!M61)*Split!M61-'Price Data'!M60-'Right Share Ratio'!M61*'Right Share Offer Price'!M61*Split!M61)/'Price Data'!M60</f>
        <v>2.2376926902038786E-2</v>
      </c>
      <c r="N61" s="7">
        <f>('Price Data'!N61*(1+'Stock Dividend'!N61+'Right Share Ratio'!N61)*Split!N61-'Price Data'!N60-'Right Share Ratio'!N61*'Right Share Offer Price'!N61*Split!N61)/'Price Data'!N60</f>
        <v>9.1787439613526506E-2</v>
      </c>
      <c r="O61" s="7">
        <f>('Price Data'!O61*(1+'Stock Dividend'!O61+'Right Share Ratio'!O61)*Split!O61-'Price Data'!O60-'Right Share Ratio'!O61*'Right Share Offer Price'!O61*Split!O61)/'Price Data'!O60</f>
        <v>7.7178423236514623E-2</v>
      </c>
      <c r="P61" s="7">
        <f>('Price Data'!P61*(1+'Stock Dividend'!P61+'Right Share Ratio'!P61)*Split!P61-'Price Data'!P60-'Right Share Ratio'!P61*'Right Share Offer Price'!P61*Split!P61)/'Price Data'!P60</f>
        <v>1.2995245641838423E-2</v>
      </c>
      <c r="Q61" s="7">
        <f>('Price Data'!Q61*(1+'Stock Dividend'!Q61+'Right Share Ratio'!Q61)*Split!Q61-'Price Data'!Q60-'Right Share Ratio'!Q61*'Right Share Offer Price'!Q61*Split!Q61)/'Price Data'!Q60</f>
        <v>0.10144927536231885</v>
      </c>
      <c r="R61" s="7">
        <f>('Price Data'!R61*(1+'Stock Dividend'!R61+'Right Share Ratio'!R61)*Split!R61-'Price Data'!R60-'Right Share Ratio'!R61*'Right Share Offer Price'!R61*Split!R61)/'Price Data'!R60</f>
        <v>4.0943512446102127E-3</v>
      </c>
      <c r="S61" s="7">
        <f>('Price Data'!S61*(1+'Stock Dividend'!S61+'Right Share Ratio'!S61)*Split!S61-'Price Data'!S60-'Right Share Ratio'!S61*'Right Share Offer Price'!S61*Split!S61)/'Price Data'!S60</f>
        <v>2.6569165143205307E-2</v>
      </c>
      <c r="T61" s="7">
        <f>('Price Data'!T61*(1+'Stock Dividend'!T61+'Right Share Ratio'!T61)*Split!T61-'Price Data'!T60-'Right Share Ratio'!T61*'Right Share Offer Price'!T61*Split!T61)/'Price Data'!T60</f>
        <v>7.2580645161290355E-2</v>
      </c>
      <c r="U61" s="7">
        <f>('Price Data'!U61*(1+'Stock Dividend'!U61+'Right Share Ratio'!U61)*Split!U61-'Price Data'!U60-'Right Share Ratio'!U61*'Right Share Offer Price'!U61*Split!U61)/'Price Data'!U60</f>
        <v>0.10841423948220069</v>
      </c>
      <c r="V61" s="7">
        <f>('Price Data'!V61*(1+'Stock Dividend'!V61+'Right Share Ratio'!V61)*Split!V61-'Price Data'!V60-'Right Share Ratio'!V61*'Right Share Offer Price'!V61*Split!V61)/'Price Data'!V60</f>
        <v>0.10682492581602374</v>
      </c>
    </row>
    <row r="62" spans="1:22">
      <c r="A62" s="166"/>
      <c r="B62" s="15" t="s">
        <v>24</v>
      </c>
      <c r="C62" s="7">
        <f>('Price Data'!C62*(1+'Stock Dividend'!C62+'Right Share Ratio'!C62)*Split!C62-'Price Data'!C61-'Right Share Ratio'!C62*'Right Share Offer Price'!C62*Split!C62)/'Price Data'!C61</f>
        <v>-3.3587786259542028E-2</v>
      </c>
      <c r="D62" s="7">
        <f>('Price Data'!D62*(1+'Stock Dividend'!D62+'Right Share Ratio'!D62)*Split!D62-'Price Data'!D61-'Right Share Ratio'!D62*'Right Share Offer Price'!D62*Split!D62)/'Price Data'!D61</f>
        <v>-3.7499999999999978E-2</v>
      </c>
      <c r="E62" s="7">
        <f>('Price Data'!E62*(1+'Stock Dividend'!E62+'Right Share Ratio'!E62)*Split!E62-'Price Data'!E61-'Right Share Ratio'!E62*'Right Share Offer Price'!E62*Split!E62)/'Price Data'!E61</f>
        <v>-2.1276595744680722E-2</v>
      </c>
      <c r="F62" s="7">
        <f>('Price Data'!F62*(1+'Stock Dividend'!F62+'Right Share Ratio'!F62)*Split!F62-'Price Data'!F61-'Right Share Ratio'!F62*'Right Share Offer Price'!F62*Split!F62)/'Price Data'!F61</f>
        <v>7.3170731707317069E-2</v>
      </c>
      <c r="G62" s="7">
        <f>('Price Data'!G62*(1+'Stock Dividend'!G62+'Right Share Ratio'!G62)*Split!G62-'Price Data'!G61-'Right Share Ratio'!G62*'Right Share Offer Price'!G62*Split!G62)/'Price Data'!G61</f>
        <v>-2.0217729393468074E-2</v>
      </c>
      <c r="H62" s="7">
        <f>('Price Data'!H62*(1+'Stock Dividend'!H62+'Right Share Ratio'!H62)*Split!H62-'Price Data'!H61-'Right Share Ratio'!H62*'Right Share Offer Price'!H62*Split!H62)/'Price Data'!H61</f>
        <v>6.1674008810572785E-2</v>
      </c>
      <c r="I62" s="7">
        <f>('Price Data'!I62*(1+'Stock Dividend'!I62+'Right Share Ratio'!I62)*Split!I62-'Price Data'!I61-'Right Share Ratio'!I62*'Right Share Offer Price'!I62*Split!I62)/'Price Data'!I61</f>
        <v>-1.9746121297602334E-2</v>
      </c>
      <c r="J62" s="7">
        <f>('Price Data'!J62*(1+'Stock Dividend'!J62+'Right Share Ratio'!J62)*Split!J62-'Price Data'!J61-'Right Share Ratio'!J62*'Right Share Offer Price'!J62*Split!J62)/'Price Data'!J61</f>
        <v>-6.1685152753453959E-2</v>
      </c>
      <c r="K62" s="7">
        <f>('Price Data'!K62*(1+'Stock Dividend'!K62+'Right Share Ratio'!K62)*Split!K62-'Price Data'!K61-'Right Share Ratio'!K62*'Right Share Offer Price'!K62*Split!K62)/'Price Data'!K61</f>
        <v>-5.1612903225807189E-3</v>
      </c>
      <c r="L62" s="7">
        <f>('Price Data'!L62*(1+'Stock Dividend'!L62+'Right Share Ratio'!L62)*Split!L62-'Price Data'!L61-'Right Share Ratio'!L62*'Right Share Offer Price'!L62*Split!L62)/'Price Data'!L61</f>
        <v>1.3679890560875515E-2</v>
      </c>
      <c r="M62" s="7">
        <f>('Price Data'!M62*(1+'Stock Dividend'!M62+'Right Share Ratio'!M62)*Split!M62-'Price Data'!M61-'Right Share Ratio'!M62*'Right Share Offer Price'!M62*Split!M62)/'Price Data'!M61</f>
        <v>5.8852140077820983E-2</v>
      </c>
      <c r="N62" s="7">
        <f>('Price Data'!N62*(1+'Stock Dividend'!N62+'Right Share Ratio'!N62)*Split!N62-'Price Data'!N61-'Right Share Ratio'!N62*'Right Share Offer Price'!N62*Split!N62)/'Price Data'!N61</f>
        <v>1.0324483775811251E-2</v>
      </c>
      <c r="O62" s="7">
        <f>('Price Data'!O62*(1+'Stock Dividend'!O62+'Right Share Ratio'!O62)*Split!O62-'Price Data'!O61-'Right Share Ratio'!O62*'Right Share Offer Price'!O62*Split!O62)/'Price Data'!O61</f>
        <v>7.7041602465326891E-4</v>
      </c>
      <c r="P62" s="7">
        <f>('Price Data'!P62*(1+'Stock Dividend'!P62+'Right Share Ratio'!P62)*Split!P62-'Price Data'!P61-'Right Share Ratio'!P62*'Right Share Offer Price'!P62*Split!P62)/'Price Data'!P61</f>
        <v>9.3867334167695399E-4</v>
      </c>
      <c r="Q62" s="7">
        <f>('Price Data'!Q62*(1+'Stock Dividend'!Q62+'Right Share Ratio'!Q62)*Split!Q62-'Price Data'!Q61-'Right Share Ratio'!Q62*'Right Share Offer Price'!Q62*Split!Q62)/'Price Data'!Q61</f>
        <v>3.1140350877192958E-2</v>
      </c>
      <c r="R62" s="7">
        <f>('Price Data'!R62*(1+'Stock Dividend'!R62+'Right Share Ratio'!R62)*Split!R62-'Price Data'!R61-'Right Share Ratio'!R62*'Right Share Offer Price'!R62*Split!R62)/'Price Data'!R61</f>
        <v>-1.7934468822170837E-2</v>
      </c>
      <c r="S62" s="7">
        <f>('Price Data'!S62*(1+'Stock Dividend'!S62+'Right Share Ratio'!S62)*Split!S62-'Price Data'!S61-'Right Share Ratio'!S62*'Right Share Offer Price'!S62*Split!S62)/'Price Data'!S61</f>
        <v>-1.5938501721476855E-2</v>
      </c>
      <c r="T62" s="7">
        <f>('Price Data'!T62*(1+'Stock Dividend'!T62+'Right Share Ratio'!T62)*Split!T62-'Price Data'!T61-'Right Share Ratio'!T62*'Right Share Offer Price'!T62*Split!T62)/'Price Data'!T61</f>
        <v>-5.0751879699248173E-2</v>
      </c>
      <c r="U62" s="7">
        <f>('Price Data'!U62*(1+'Stock Dividend'!U62+'Right Share Ratio'!U62)*Split!U62-'Price Data'!U61-'Right Share Ratio'!U62*'Right Share Offer Price'!U62*Split!U62)/'Price Data'!U61</f>
        <v>-1.8978102189780979E-2</v>
      </c>
      <c r="V62" s="7">
        <f>('Price Data'!V62*(1+'Stock Dividend'!V62+'Right Share Ratio'!V62)*Split!V62-'Price Data'!V61-'Right Share Ratio'!V62*'Right Share Offer Price'!V62*Split!V62)/'Price Data'!V61</f>
        <v>-2.198391420911525E-2</v>
      </c>
    </row>
    <row r="63" spans="1:22">
      <c r="A63" s="166"/>
      <c r="B63" s="15" t="s">
        <v>25</v>
      </c>
      <c r="C63" s="7">
        <f>('Price Data'!C63*(1+'Stock Dividend'!C63+'Right Share Ratio'!C63)*Split!C63-'Price Data'!C62-'Right Share Ratio'!C63*'Right Share Offer Price'!C63*Split!C63)/'Price Data'!C62</f>
        <v>-1.7377567140600226E-2</v>
      </c>
      <c r="D63" s="7">
        <f>('Price Data'!D63*(1+'Stock Dividend'!D63+'Right Share Ratio'!D63)*Split!D63-'Price Data'!D62-'Right Share Ratio'!D63*'Right Share Offer Price'!D63*Split!D63)/'Price Data'!D62</f>
        <v>-2.5974025974025997E-2</v>
      </c>
      <c r="E63" s="7">
        <f>('Price Data'!E63*(1+'Stock Dividend'!E63+'Right Share Ratio'!E63)*Split!E63-'Price Data'!E62-'Right Share Ratio'!E63*'Right Share Offer Price'!E63*Split!E63)/'Price Data'!E62</f>
        <v>-3.7267080745341699E-2</v>
      </c>
      <c r="F63" s="7">
        <f>('Price Data'!F63*(1+'Stock Dividend'!F63+'Right Share Ratio'!F63)*Split!F63-'Price Data'!F62-'Right Share Ratio'!F63*'Right Share Offer Price'!F63*Split!F63)/'Price Data'!F62</f>
        <v>-7.2727272727272793E-2</v>
      </c>
      <c r="G63" s="7">
        <f>('Price Data'!G63*(1+'Stock Dividend'!G63+'Right Share Ratio'!G63)*Split!G63-'Price Data'!G62-'Right Share Ratio'!G63*'Right Share Offer Price'!G63*Split!G63)/'Price Data'!G62</f>
        <v>-6.9841269841269815E-2</v>
      </c>
      <c r="H63" s="7">
        <f>('Price Data'!H63*(1+'Stock Dividend'!H63+'Right Share Ratio'!H63)*Split!H63-'Price Data'!H62-'Right Share Ratio'!H63*'Right Share Offer Price'!H63*Split!H63)/'Price Data'!H62</f>
        <v>-2.0746887966804978E-2</v>
      </c>
      <c r="I63" s="7">
        <f>('Price Data'!I63*(1+'Stock Dividend'!I63+'Right Share Ratio'!I63)*Split!I63-'Price Data'!I62-'Right Share Ratio'!I63*'Right Share Offer Price'!I63*Split!I63)/'Price Data'!I62</f>
        <v>-0.2446043165467626</v>
      </c>
      <c r="J63" s="7">
        <f>('Price Data'!J63*(1+'Stock Dividend'!J63+'Right Share Ratio'!J63)*Split!J63-'Price Data'!J62-'Right Share Ratio'!J63*'Right Share Offer Price'!J63*Split!J63)/'Price Data'!J62</f>
        <v>-2.073828287017835E-2</v>
      </c>
      <c r="K63" s="7">
        <f>('Price Data'!K63*(1+'Stock Dividend'!K63+'Right Share Ratio'!K63)*Split!K63-'Price Data'!K62-'Right Share Ratio'!K63*'Right Share Offer Price'!K63*Split!K63)/'Price Data'!K62</f>
        <v>-5.7717250324254073E-2</v>
      </c>
      <c r="L63" s="7">
        <f>('Price Data'!L63*(1+'Stock Dividend'!L63+'Right Share Ratio'!L63)*Split!L63-'Price Data'!L62-'Right Share Ratio'!L63*'Right Share Offer Price'!L63*Split!L63)/'Price Data'!L62</f>
        <v>-7.1524966261808334E-2</v>
      </c>
      <c r="M63" s="7">
        <f>('Price Data'!M63*(1+'Stock Dividend'!M63+'Right Share Ratio'!M63)*Split!M63-'Price Data'!M62-'Right Share Ratio'!M63*'Right Share Offer Price'!M63*Split!M63)/'Price Data'!M62</f>
        <v>-5.9715204409738175E-2</v>
      </c>
      <c r="N63" s="7">
        <f>('Price Data'!N63*(1+'Stock Dividend'!N63+'Right Share Ratio'!N63)*Split!N63-'Price Data'!N62-'Right Share Ratio'!N63*'Right Share Offer Price'!N63*Split!N63)/'Price Data'!N62</f>
        <v>-7.445255474452557E-2</v>
      </c>
      <c r="O63" s="7">
        <f>('Price Data'!O63*(1+'Stock Dividend'!O63+'Right Share Ratio'!O63)*Split!O63-'Price Data'!O62-'Right Share Ratio'!O63*'Right Share Offer Price'!O63*Split!O63)/'Price Data'!O62</f>
        <v>-6.658968437259434E-2</v>
      </c>
      <c r="P63" s="7">
        <f>('Price Data'!P63*(1+'Stock Dividend'!P63+'Right Share Ratio'!P63)*Split!P63-'Price Data'!P62-'Right Share Ratio'!P63*'Right Share Offer Price'!P63*Split!P63)/'Price Data'!P62</f>
        <v>-2.1256642700843872E-2</v>
      </c>
      <c r="Q63" s="7">
        <f>('Price Data'!Q63*(1+'Stock Dividend'!Q63+'Right Share Ratio'!Q63)*Split!Q63-'Price Data'!Q62-'Right Share Ratio'!Q63*'Right Share Offer Price'!Q63*Split!Q63)/'Price Data'!Q62</f>
        <v>-2.1692896639727753E-2</v>
      </c>
      <c r="R63" s="7">
        <f>('Price Data'!R63*(1+'Stock Dividend'!R63+'Right Share Ratio'!R63)*Split!R63-'Price Data'!R62-'Right Share Ratio'!R63*'Right Share Offer Price'!R63*Split!R63)/'Price Data'!R62</f>
        <v>-8.1940106558883643E-3</v>
      </c>
      <c r="S63" s="7">
        <f>('Price Data'!S63*(1+'Stock Dividend'!S63+'Right Share Ratio'!S63)*Split!S63-'Price Data'!S62-'Right Share Ratio'!S63*'Right Share Offer Price'!S63*Split!S63)/'Price Data'!S62</f>
        <v>-9.108731714673449E-3</v>
      </c>
      <c r="T63" s="7">
        <f>('Price Data'!T63*(1+'Stock Dividend'!T63+'Right Share Ratio'!T63)*Split!T63-'Price Data'!T62-'Right Share Ratio'!T63*'Right Share Offer Price'!T63*Split!T63)/'Price Data'!T62</f>
        <v>-9.3069306930693124E-2</v>
      </c>
      <c r="U63" s="7">
        <f>('Price Data'!U63*(1+'Stock Dividend'!U63+'Right Share Ratio'!U63)*Split!U63-'Price Data'!U62-'Right Share Ratio'!U63*'Right Share Offer Price'!U63*Split!U63)/'Price Data'!U62</f>
        <v>-9.9702380952380987E-2</v>
      </c>
      <c r="V63" s="7">
        <f>('Price Data'!V63*(1+'Stock Dividend'!V63+'Right Share Ratio'!V63)*Split!V63-'Price Data'!V62-'Right Share Ratio'!V63*'Right Share Offer Price'!V63*Split!V63)/'Price Data'!V62</f>
        <v>-3.5087719298245647E-2</v>
      </c>
    </row>
  </sheetData>
  <mergeCells count="11">
    <mergeCell ref="A56:A63"/>
    <mergeCell ref="A3:A7"/>
    <mergeCell ref="A8:A19"/>
    <mergeCell ref="A20:A31"/>
    <mergeCell ref="A32:A43"/>
    <mergeCell ref="A44:A55"/>
    <mergeCell ref="C1:D1"/>
    <mergeCell ref="G1:H1"/>
    <mergeCell ref="E1:F1"/>
    <mergeCell ref="I1:K1"/>
    <mergeCell ref="P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63F0-8250-4741-AC19-F0AD836DD829}">
  <dimension ref="A1:AA121"/>
  <sheetViews>
    <sheetView zoomScale="48" zoomScaleNormal="106" workbookViewId="0">
      <pane xSplit="2" ySplit="2" topLeftCell="C39" activePane="bottomRight" state="frozen"/>
      <selection pane="topRight" activeCell="C1" sqref="C1"/>
      <selection pane="bottomLeft" activeCell="A3" sqref="A3"/>
      <selection pane="bottomRight" activeCell="A2" sqref="A2:B2"/>
    </sheetView>
  </sheetViews>
  <sheetFormatPr defaultColWidth="8.81640625" defaultRowHeight="14.5"/>
  <cols>
    <col min="2" max="2" width="10.81640625" bestFit="1" customWidth="1"/>
    <col min="3" max="3" width="9.453125" bestFit="1" customWidth="1"/>
    <col min="5" max="5" width="13.6328125" bestFit="1" customWidth="1"/>
    <col min="6" max="6" width="13.1796875" bestFit="1" customWidth="1"/>
    <col min="7" max="7" width="12" bestFit="1" customWidth="1"/>
    <col min="8" max="8" width="10.81640625" bestFit="1" customWidth="1"/>
    <col min="9" max="9" width="9.81640625" bestFit="1" customWidth="1"/>
    <col min="10" max="10" width="10.54296875" bestFit="1" customWidth="1"/>
    <col min="11" max="11" width="12.81640625" customWidth="1"/>
    <col min="12" max="12" width="13.1796875" bestFit="1" customWidth="1"/>
    <col min="13" max="13" width="11.6328125" bestFit="1" customWidth="1"/>
    <col min="14" max="14" width="13.453125" bestFit="1" customWidth="1"/>
    <col min="15" max="16" width="15" bestFit="1" customWidth="1"/>
    <col min="17" max="17" width="10" bestFit="1" customWidth="1"/>
    <col min="18" max="18" width="19.1796875" bestFit="1" customWidth="1"/>
    <col min="19" max="19" width="18.81640625" bestFit="1" customWidth="1"/>
    <col min="20" max="20" width="9.6328125" bestFit="1" customWidth="1"/>
    <col min="22" max="22" width="12.54296875" bestFit="1" customWidth="1"/>
  </cols>
  <sheetData>
    <row r="1" spans="1:22" s="152" customFormat="1">
      <c r="A1" s="151" t="s">
        <v>37</v>
      </c>
      <c r="B1" s="151"/>
      <c r="C1" s="165" t="s">
        <v>12</v>
      </c>
      <c r="D1" s="165"/>
      <c r="E1" s="165" t="s">
        <v>108</v>
      </c>
      <c r="F1" s="165"/>
      <c r="G1" s="165" t="s">
        <v>32</v>
      </c>
      <c r="H1" s="165"/>
      <c r="I1" s="165" t="s">
        <v>30</v>
      </c>
      <c r="J1" s="165"/>
      <c r="K1" s="165"/>
      <c r="L1" s="151" t="s">
        <v>115</v>
      </c>
      <c r="M1" s="151" t="s">
        <v>35</v>
      </c>
      <c r="N1" s="151" t="s">
        <v>27</v>
      </c>
      <c r="O1" s="151" t="s">
        <v>34</v>
      </c>
      <c r="P1" s="165" t="s">
        <v>33</v>
      </c>
      <c r="Q1" s="165"/>
      <c r="R1" s="165"/>
      <c r="S1" s="165"/>
      <c r="T1" s="151" t="s">
        <v>29</v>
      </c>
      <c r="U1" s="151" t="s">
        <v>123</v>
      </c>
      <c r="V1" s="151" t="s">
        <v>125</v>
      </c>
    </row>
    <row r="2" spans="1:22">
      <c r="A2" s="151" t="s">
        <v>14</v>
      </c>
      <c r="B2" s="151" t="s">
        <v>13</v>
      </c>
      <c r="C2" s="6" t="s">
        <v>127</v>
      </c>
      <c r="D2" s="6" t="s">
        <v>105</v>
      </c>
      <c r="E2" s="6" t="s">
        <v>106</v>
      </c>
      <c r="F2" s="6" t="s">
        <v>107</v>
      </c>
      <c r="G2" s="6" t="s">
        <v>109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116</v>
      </c>
      <c r="N2" s="6" t="s">
        <v>117</v>
      </c>
      <c r="O2" s="6" t="s">
        <v>36</v>
      </c>
      <c r="P2" s="6" t="s">
        <v>118</v>
      </c>
      <c r="Q2" s="6" t="s">
        <v>119</v>
      </c>
      <c r="R2" s="6" t="s">
        <v>120</v>
      </c>
      <c r="S2" s="6" t="s">
        <v>121</v>
      </c>
      <c r="T2" s="6" t="s">
        <v>122</v>
      </c>
      <c r="U2" s="6" t="s">
        <v>124</v>
      </c>
      <c r="V2" s="6" t="s">
        <v>126</v>
      </c>
    </row>
    <row r="3" spans="1:22">
      <c r="A3" s="176">
        <v>2021</v>
      </c>
      <c r="B3" s="14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176"/>
      <c r="B4" s="14" t="s">
        <v>26</v>
      </c>
      <c r="C4" s="7">
        <f>'Dividend Yield'!C4+'Capital Gain'!C4</f>
        <v>1.039298473530368E-2</v>
      </c>
      <c r="D4" s="7">
        <f>'Dividend Yield'!D4+'Capital Gain'!D4</f>
        <v>6.4102564102563875E-3</v>
      </c>
      <c r="E4" s="7">
        <f>'Dividend Yield'!E4+'Capital Gain'!E4</f>
        <v>0.25583288117200215</v>
      </c>
      <c r="F4" s="7">
        <f>'Dividend Yield'!F4+'Capital Gain'!F4</f>
        <v>4.9779205138498574E-2</v>
      </c>
      <c r="G4" s="7">
        <f>'Dividend Yield'!G4+'Capital Gain'!G4</f>
        <v>-6.3901345291479852E-2</v>
      </c>
      <c r="H4" s="7">
        <f>'Dividend Yield'!H4+'Capital Gain'!H4</f>
        <v>-3.2394366197183055E-2</v>
      </c>
      <c r="I4" s="7">
        <f>'Dividend Yield'!I4+'Capital Gain'!I4</f>
        <v>5.8202750239846619E-2</v>
      </c>
      <c r="J4" s="7">
        <f>'Dividend Yield'!J4+'Capital Gain'!J4</f>
        <v>-4.9557522123893756E-2</v>
      </c>
      <c r="K4" s="7">
        <f>'Dividend Yield'!K4+'Capital Gain'!K4</f>
        <v>0.1297359357060851</v>
      </c>
      <c r="L4" s="7">
        <f>'Dividend Yield'!L4+'Capital Gain'!L4</f>
        <v>-8.7124132613723856E-2</v>
      </c>
      <c r="M4" s="7">
        <f>'Dividend Yield'!M4+'Capital Gain'!M4</f>
        <v>0.31230688069937446</v>
      </c>
      <c r="N4" s="7">
        <f>'Dividend Yield'!N4+'Capital Gain'!N4</f>
        <v>8.0983420717018625E-2</v>
      </c>
      <c r="O4" s="7">
        <f>'Dividend Yield'!O4+'Capital Gain'!O4</f>
        <v>4.8538334252619872E-2</v>
      </c>
      <c r="P4" s="7">
        <f>'Dividend Yield'!P4+'Capital Gain'!P4</f>
        <v>6.4717348927875326E-2</v>
      </c>
      <c r="Q4" s="7">
        <f>'Dividend Yield'!Q4+'Capital Gain'!Q4</f>
        <v>1.2158408595712033E-2</v>
      </c>
      <c r="R4" s="7">
        <f>'Dividend Yield'!R4+'Capital Gain'!R4</f>
        <v>4.6926123643876508E-3</v>
      </c>
      <c r="S4" s="7">
        <f>'Dividend Yield'!S4+'Capital Gain'!S4</f>
        <v>8.0914392974458543E-2</v>
      </c>
      <c r="T4" s="7">
        <f>'Dividend Yield'!T4+'Capital Gain'!T4</f>
        <v>0.31034482758620691</v>
      </c>
      <c r="U4" s="7">
        <f>'Dividend Yield'!U4+'Capital Gain'!U4</f>
        <v>0.20880913539967369</v>
      </c>
      <c r="V4" s="7">
        <f>'Dividend Yield'!V4+'Capital Gain'!V4</f>
        <v>5.4674685620557679E-3</v>
      </c>
    </row>
    <row r="5" spans="1:22">
      <c r="A5" s="176"/>
      <c r="B5" s="14" t="s">
        <v>15</v>
      </c>
      <c r="C5" s="7">
        <f>'Dividend Yield'!C5+'Capital Gain'!C5</f>
        <v>-3.7608486017357702E-2</v>
      </c>
      <c r="D5" s="7">
        <f>'Dividend Yield'!D5+'Capital Gain'!D5</f>
        <v>-1.2738853503184669E-2</v>
      </c>
      <c r="E5" s="7">
        <f>'Dividend Yield'!E5+'Capital Gain'!E5</f>
        <v>-0.14625189025707488</v>
      </c>
      <c r="F5" s="7">
        <f>'Dividend Yield'!F5+'Capital Gain'!F5</f>
        <v>-7.0618228170809511E-2</v>
      </c>
      <c r="G5" s="7">
        <f>'Dividend Yield'!G5+'Capital Gain'!G5</f>
        <v>-5.9880239520958084E-2</v>
      </c>
      <c r="H5" s="7">
        <f>'Dividend Yield'!H5+'Capital Gain'!H5</f>
        <v>-1.310043668122279E-2</v>
      </c>
      <c r="I5" s="7">
        <f>'Dividend Yield'!I5+'Capital Gain'!I5</f>
        <v>-2.2061045633121907E-2</v>
      </c>
      <c r="J5" s="7">
        <f>'Dividend Yield'!J5+'Capital Gain'!J5</f>
        <v>-0.23091247672253268</v>
      </c>
      <c r="K5" s="7">
        <f>'Dividend Yield'!K5+'Capital Gain'!K5</f>
        <v>-0.11178861788617886</v>
      </c>
      <c r="L5" s="7">
        <f>'Dividend Yield'!L5+'Capital Gain'!L5</f>
        <v>-8.6900201483534875E-2</v>
      </c>
      <c r="M5" s="7">
        <f>'Dividend Yield'!M5+'Capital Gain'!M5</f>
        <v>-3.6711010943412864E-2</v>
      </c>
      <c r="N5" s="7">
        <f>'Dividend Yield'!N5+'Capital Gain'!N5</f>
        <v>-0.18850363767451001</v>
      </c>
      <c r="O5" s="7">
        <f>'Dividend Yield'!O5+'Capital Gain'!O5</f>
        <v>-5.7075223566543896E-2</v>
      </c>
      <c r="P5" s="7">
        <f>'Dividend Yield'!P5+'Capital Gain'!P5</f>
        <v>2.8189765823695128E-3</v>
      </c>
      <c r="Q5" s="7">
        <f>'Dividend Yield'!Q5+'Capital Gain'!Q5</f>
        <v>1.1240017090084518E-2</v>
      </c>
      <c r="R5" s="7">
        <f>'Dividend Yield'!R5+'Capital Gain'!R5</f>
        <v>-1.6540257959463477E-2</v>
      </c>
      <c r="S5" s="7">
        <f>'Dividend Yield'!S5+'Capital Gain'!S5</f>
        <v>4.165633010832713E-2</v>
      </c>
      <c r="T5" s="7">
        <f>'Dividend Yield'!T5+'Capital Gain'!T5</f>
        <v>-3.8157894736842182E-2</v>
      </c>
      <c r="U5" s="7">
        <f>'Dividend Yield'!U5+'Capital Gain'!U5</f>
        <v>-0.20917678812415647</v>
      </c>
      <c r="V5" s="7">
        <f>'Dividend Yield'!V5+'Capital Gain'!V5</f>
        <v>-5.7096247960848286E-2</v>
      </c>
    </row>
    <row r="6" spans="1:22">
      <c r="A6" s="176"/>
      <c r="B6" s="14" t="s">
        <v>16</v>
      </c>
      <c r="C6" s="7">
        <f>'Dividend Yield'!C6+'Capital Gain'!C6</f>
        <v>0.1833667334669338</v>
      </c>
      <c r="D6" s="7">
        <f>'Dividend Yield'!D6+'Capital Gain'!D6</f>
        <v>-6.4516129032257839E-3</v>
      </c>
      <c r="E6" s="7">
        <f>'Dividend Yield'!E6+'Capital Gain'!E6</f>
        <v>-5.7692307692307716E-2</v>
      </c>
      <c r="F6" s="7">
        <f>'Dividend Yield'!F6+'Capital Gain'!F6</f>
        <v>-3.7443423398710603E-2</v>
      </c>
      <c r="G6" s="7">
        <f>'Dividend Yield'!G6+'Capital Gain'!G6</f>
        <v>-9.5541401273885357E-2</v>
      </c>
      <c r="H6" s="7">
        <f>'Dividend Yield'!H6+'Capital Gain'!H6</f>
        <v>-9.5870206489675522E-2</v>
      </c>
      <c r="I6" s="7">
        <f>'Dividend Yield'!I6+'Capital Gain'!I6</f>
        <v>6.6568462790616151E-2</v>
      </c>
      <c r="J6" s="7">
        <f>'Dividend Yield'!J6+'Capital Gain'!J6</f>
        <v>-7.9903147699757801E-2</v>
      </c>
      <c r="K6" s="7">
        <f>'Dividend Yield'!K6+'Capital Gain'!K6</f>
        <v>-5.6426751867363296E-2</v>
      </c>
      <c r="L6" s="7">
        <f>'Dividend Yield'!L6+'Capital Gain'!L6</f>
        <v>5.5080721747388386E-2</v>
      </c>
      <c r="M6" s="7">
        <f>'Dividend Yield'!M6+'Capital Gain'!M6</f>
        <v>-0.10324937512016928</v>
      </c>
      <c r="N6" s="7">
        <f>'Dividend Yield'!N6+'Capital Gain'!N6</f>
        <v>-0.10226720648558389</v>
      </c>
      <c r="O6" s="7">
        <f>'Dividend Yield'!O6+'Capital Gain'!O6</f>
        <v>-2.8451882845188254E-2</v>
      </c>
      <c r="P6" s="7">
        <f>'Dividend Yield'!P6+'Capital Gain'!P6</f>
        <v>-2.2296544035675311E-3</v>
      </c>
      <c r="Q6" s="7">
        <f>'Dividend Yield'!Q6+'Capital Gain'!Q6</f>
        <v>8.9955666421190017E-2</v>
      </c>
      <c r="R6" s="7">
        <f>'Dividend Yield'!R6+'Capital Gain'!R6</f>
        <v>-6.3613785891681882E-3</v>
      </c>
      <c r="S6" s="7">
        <f>'Dividend Yield'!S6+'Capital Gain'!S6</f>
        <v>-2.9035267033163354E-2</v>
      </c>
      <c r="T6" s="7">
        <f>'Dividend Yield'!T6+'Capital Gain'!T6</f>
        <v>-0.10903563244680158</v>
      </c>
      <c r="U6" s="7">
        <f>'Dividend Yield'!U6+'Capital Gain'!U6</f>
        <v>-2.8185997667702613E-2</v>
      </c>
      <c r="V6" s="7">
        <f>'Dividend Yield'!V6+'Capital Gain'!V6</f>
        <v>-1.3840830449827021E-2</v>
      </c>
    </row>
    <row r="7" spans="1:22">
      <c r="A7" s="176"/>
      <c r="B7" s="14" t="s">
        <v>17</v>
      </c>
      <c r="C7" s="7">
        <f>'Dividend Yield'!C7+'Capital Gain'!C7</f>
        <v>2.032176121930564E-2</v>
      </c>
      <c r="D7" s="7">
        <f>'Dividend Yield'!D7+'Capital Gain'!D7</f>
        <v>-6.4935064935064705E-3</v>
      </c>
      <c r="E7" s="7">
        <f>'Dividend Yield'!E7+'Capital Gain'!E7</f>
        <v>-1.2889366272825026E-2</v>
      </c>
      <c r="F7" s="7">
        <f>'Dividend Yield'!F7+'Capital Gain'!F7</f>
        <v>-1.2824166429182588E-3</v>
      </c>
      <c r="G7" s="7">
        <f>'Dividend Yield'!G7+'Capital Gain'!G7</f>
        <v>3.2394366197183055E-2</v>
      </c>
      <c r="H7" s="7">
        <f>'Dividend Yield'!H7+'Capital Gain'!H7</f>
        <v>0.11745513866231652</v>
      </c>
      <c r="I7" s="7">
        <f>'Dividend Yield'!I7+'Capital Gain'!I7</f>
        <v>-8.6696562032884963E-2</v>
      </c>
      <c r="J7" s="7">
        <f>'Dividend Yield'!J7+'Capital Gain'!J7</f>
        <v>0.32631578947368417</v>
      </c>
      <c r="K7" s="7">
        <f>'Dividend Yield'!K7+'Capital Gain'!K7</f>
        <v>1.0062893081760971E-2</v>
      </c>
      <c r="L7" s="7">
        <f>'Dividend Yield'!L7+'Capital Gain'!L7</f>
        <v>9.9909990999099987E-2</v>
      </c>
      <c r="M7" s="7">
        <f>'Dividend Yield'!M7+'Capital Gain'!M7</f>
        <v>0.15165809033733563</v>
      </c>
      <c r="N7" s="7">
        <f>'Dividend Yield'!N7+'Capital Gain'!N7</f>
        <v>7.2121156154769481E-2</v>
      </c>
      <c r="O7" s="7">
        <f>'Dividend Yield'!O7+'Capital Gain'!O7</f>
        <v>3.4453057708871333E-3</v>
      </c>
      <c r="P7" s="7">
        <f>'Dividend Yield'!P7+'Capital Gain'!P7</f>
        <v>1.0428305400372482E-2</v>
      </c>
      <c r="Q7" s="7">
        <f>'Dividend Yield'!Q7+'Capital Gain'!Q7</f>
        <v>1.6665699337517836E-2</v>
      </c>
      <c r="R7" s="7">
        <f>'Dividend Yield'!R7+'Capital Gain'!R7</f>
        <v>8.989256741942557E-3</v>
      </c>
      <c r="S7" s="7">
        <f>'Dividend Yield'!S7+'Capital Gain'!S7</f>
        <v>0.17118387703376667</v>
      </c>
      <c r="T7" s="7">
        <f>'Dividend Yield'!T7+'Capital Gain'!T7</f>
        <v>0.10410094637223977</v>
      </c>
      <c r="U7" s="7">
        <f>'Dividend Yield'!U7+'Capital Gain'!U7</f>
        <v>-6.2611806797853317E-2</v>
      </c>
      <c r="V7" s="7">
        <f>'Dividend Yield'!V7+'Capital Gain'!V7</f>
        <v>5.8479532163739363E-4</v>
      </c>
    </row>
    <row r="8" spans="1:22">
      <c r="A8" s="166">
        <v>2022</v>
      </c>
      <c r="B8" s="15" t="s">
        <v>18</v>
      </c>
      <c r="C8" s="7">
        <f>'Dividend Yield'!C8+'Capital Gain'!C8</f>
        <v>-1.9363762102351393E-3</v>
      </c>
      <c r="D8" s="7">
        <f>'Dividend Yield'!D8+'Capital Gain'!D8</f>
        <v>-6.5359477124183937E-3</v>
      </c>
      <c r="E8" s="7">
        <f>'Dividend Yield'!E8+'Capital Gain'!E8</f>
        <v>1.5505984766050062E-2</v>
      </c>
      <c r="F8" s="7">
        <f>'Dividend Yield'!F8+'Capital Gain'!F8</f>
        <v>-3.8521900413755203E-3</v>
      </c>
      <c r="G8" s="7">
        <f>'Dividend Yield'!G8+'Capital Gain'!G8</f>
        <v>-2.8649386084583825E-2</v>
      </c>
      <c r="H8" s="7">
        <f>'Dividend Yield'!H8+'Capital Gain'!H8</f>
        <v>-5.4014598540146029E-2</v>
      </c>
      <c r="I8" s="7">
        <f>'Dividend Yield'!I8+'Capital Gain'!I8</f>
        <v>0.15155482815057281</v>
      </c>
      <c r="J8" s="7">
        <f>'Dividend Yield'!J8+'Capital Gain'!J8</f>
        <v>-7.1428571428571452E-2</v>
      </c>
      <c r="K8" s="7">
        <f>'Dividend Yield'!K8+'Capital Gain'!K8</f>
        <v>6.8493150684931156E-3</v>
      </c>
      <c r="L8" s="7">
        <f>'Dividend Yield'!L8+'Capital Gain'!L8</f>
        <v>-4.5008183306055646E-2</v>
      </c>
      <c r="M8" s="7">
        <f>'Dividend Yield'!M8+'Capital Gain'!M8</f>
        <v>0.21894005212858386</v>
      </c>
      <c r="N8" s="7">
        <f>'Dividend Yield'!N8+'Capital Gain'!N8</f>
        <v>-6.6322136089577615E-3</v>
      </c>
      <c r="O8" s="7">
        <f>'Dividend Yield'!O8+'Capital Gain'!O8</f>
        <v>1.8311874105865458E-2</v>
      </c>
      <c r="P8" s="7">
        <f>'Dividend Yield'!P8+'Capital Gain'!P8</f>
        <v>4.3125691116844778E-2</v>
      </c>
      <c r="Q8" s="7">
        <f>'Dividend Yield'!Q8+'Capital Gain'!Q8</f>
        <v>1.5470937961294132E-2</v>
      </c>
      <c r="R8" s="7">
        <f>'Dividend Yield'!R8+'Capital Gain'!R8</f>
        <v>2.3946110386788313E-2</v>
      </c>
      <c r="S8" s="7">
        <f>'Dividend Yield'!S8+'Capital Gain'!S8</f>
        <v>1.9232447337650001E-2</v>
      </c>
      <c r="T8" s="7">
        <f>'Dividend Yield'!T8+'Capital Gain'!T8</f>
        <v>-0.18714285714285717</v>
      </c>
      <c r="U8" s="7">
        <f>'Dividend Yield'!U8+'Capital Gain'!U8</f>
        <v>-1.1450381679389341E-2</v>
      </c>
      <c r="V8" s="7">
        <f>'Dividend Yield'!V8+'Capital Gain'!V8</f>
        <v>5.2226740107653796E-2</v>
      </c>
    </row>
    <row r="9" spans="1:22">
      <c r="A9" s="166"/>
      <c r="B9" s="15" t="s">
        <v>19</v>
      </c>
      <c r="C9" s="7">
        <f>'Dividend Yield'!C9+'Capital Gain'!C9</f>
        <v>-2.1618625277161897E-2</v>
      </c>
      <c r="D9" s="7">
        <f>'Dividend Yield'!D9+'Capital Gain'!D9</f>
        <v>-1.3157894736842059E-2</v>
      </c>
      <c r="E9" s="7">
        <f>'Dividend Yield'!E9+'Capital Gain'!E9</f>
        <v>-7.1256362175194127E-2</v>
      </c>
      <c r="F9" s="7">
        <f>'Dividend Yield'!F9+'Capital Gain'!F9</f>
        <v>-4.5545688914351089E-2</v>
      </c>
      <c r="G9" s="7">
        <f>'Dividend Yield'!G9+'Capital Gain'!G9</f>
        <v>-5.898876404494386E-2</v>
      </c>
      <c r="H9" s="7">
        <f>'Dividend Yield'!H9+'Capital Gain'!H9</f>
        <v>-0.12191358024691357</v>
      </c>
      <c r="I9" s="7">
        <f>'Dividend Yield'!I9+'Capital Gain'!I9</f>
        <v>-5.4292211483797516E-2</v>
      </c>
      <c r="J9" s="7">
        <f>'Dividend Yield'!J9+'Capital Gain'!J9</f>
        <v>2.3504273504273535E-2</v>
      </c>
      <c r="K9" s="7">
        <f>'Dividend Yield'!K9+'Capital Gain'!K9</f>
        <v>-8.9672232529375395E-2</v>
      </c>
      <c r="L9" s="7">
        <f>'Dividend Yield'!L9+'Capital Gain'!L9</f>
        <v>-8.6546700942587901E-2</v>
      </c>
      <c r="M9" s="7">
        <f>'Dividend Yield'!M9+'Capital Gain'!M9</f>
        <v>-5.4424193055696971E-2</v>
      </c>
      <c r="N9" s="7">
        <f>'Dividend Yield'!N9+'Capital Gain'!N9</f>
        <v>-3.4683083326107693E-2</v>
      </c>
      <c r="O9" s="7">
        <f>'Dividend Yield'!O9+'Capital Gain'!O9</f>
        <v>2.8853941126886336E-2</v>
      </c>
      <c r="P9" s="7">
        <f>'Dividend Yield'!P9+'Capital Gain'!P9</f>
        <v>7.0671378091872791E-3</v>
      </c>
      <c r="Q9" s="7">
        <f>'Dividend Yield'!Q9+'Capital Gain'!Q9</f>
        <v>2.1089997911881386E-2</v>
      </c>
      <c r="R9" s="7">
        <f>'Dividend Yield'!R9+'Capital Gain'!R9</f>
        <v>1.8377827766223924E-2</v>
      </c>
      <c r="S9" s="7">
        <f>'Dividend Yield'!S9+'Capital Gain'!S9</f>
        <v>2.2602352699439767E-3</v>
      </c>
      <c r="T9" s="7">
        <f>'Dividend Yield'!T9+'Capital Gain'!T9</f>
        <v>-3.3391915641476248E-2</v>
      </c>
      <c r="U9" s="7">
        <f>'Dividend Yield'!U9+'Capital Gain'!U9</f>
        <v>0.17374517374517376</v>
      </c>
      <c r="V9" s="7">
        <f>'Dividend Yield'!V9+'Capital Gain'!V9</f>
        <v>2.3837902264599357E-3</v>
      </c>
    </row>
    <row r="10" spans="1:22">
      <c r="A10" s="166"/>
      <c r="B10" s="15" t="s">
        <v>20</v>
      </c>
      <c r="C10" s="7">
        <f>'Dividend Yield'!C10+'Capital Gain'!C10</f>
        <v>-7.9603399433427632E-2</v>
      </c>
      <c r="D10" s="7">
        <f>'Dividend Yield'!D10+'Capital Gain'!D10</f>
        <v>2.6666666666666689E-2</v>
      </c>
      <c r="E10" s="7">
        <f>'Dividend Yield'!E10+'Capital Gain'!E10</f>
        <v>0.16492121312926028</v>
      </c>
      <c r="F10" s="7">
        <f>'Dividend Yield'!F10+'Capital Gain'!F10</f>
        <v>0.10569898691183785</v>
      </c>
      <c r="G10" s="7">
        <f>'Dividend Yield'!G10+'Capital Gain'!G10</f>
        <v>-8.3582089552238822E-2</v>
      </c>
      <c r="H10" s="7">
        <f>'Dividend Yield'!H10+'Capital Gain'!H10</f>
        <v>-2.9876977152899751E-2</v>
      </c>
      <c r="I10" s="7">
        <f>'Dividend Yield'!I10+'Capital Gain'!I10</f>
        <v>0.13946498346859013</v>
      </c>
      <c r="J10" s="7">
        <f>'Dividend Yield'!J10+'Capital Gain'!J10</f>
        <v>-4.8016701461377813E-2</v>
      </c>
      <c r="K10" s="7">
        <f>'Dividend Yield'!K10+'Capital Gain'!K10</f>
        <v>-6.7934782608695662E-2</v>
      </c>
      <c r="L10" s="7">
        <f>'Dividend Yield'!L10+'Capital Gain'!L10</f>
        <v>-3.5647279549718552E-2</v>
      </c>
      <c r="M10" s="7">
        <f>'Dividend Yield'!M10+'Capital Gain'!M10</f>
        <v>-1.3298874710601405E-2</v>
      </c>
      <c r="N10" s="7">
        <f>'Dividend Yield'!N10+'Capital Gain'!N10</f>
        <v>-2.479116141201837E-2</v>
      </c>
      <c r="O10" s="7">
        <f>'Dividend Yield'!O10+'Capital Gain'!O10</f>
        <v>-3.264705882352948E-2</v>
      </c>
      <c r="P10" s="7">
        <f>'Dividend Yield'!P10+'Capital Gain'!P10</f>
        <v>4.5964912280701833E-2</v>
      </c>
      <c r="Q10" s="7">
        <f>'Dividend Yield'!Q10+'Capital Gain'!Q10</f>
        <v>-5.2147239263804534E-3</v>
      </c>
      <c r="R10" s="7">
        <f>'Dividend Yield'!R10+'Capital Gain'!R10</f>
        <v>-1.8421271984662944E-2</v>
      </c>
      <c r="S10" s="7">
        <f>'Dividend Yield'!S10+'Capital Gain'!S10</f>
        <v>-7.9425281465156497E-2</v>
      </c>
      <c r="T10" s="7">
        <f>'Dividend Yield'!T10+'Capital Gain'!T10</f>
        <v>3.4545454545454518E-2</v>
      </c>
      <c r="U10" s="7">
        <f>'Dividend Yield'!U10+'Capital Gain'!U10</f>
        <v>7.0723684210526272E-2</v>
      </c>
      <c r="V10" s="7">
        <f>'Dividend Yield'!V10+'Capital Gain'!V10</f>
        <v>-2.9726516052318672E-2</v>
      </c>
    </row>
    <row r="11" spans="1:22">
      <c r="A11" s="166"/>
      <c r="B11" s="15" t="s">
        <v>21</v>
      </c>
      <c r="C11" s="7">
        <f>'Dividend Yield'!C11+'Capital Gain'!C11</f>
        <v>9.2580637911436503E-2</v>
      </c>
      <c r="D11" s="7">
        <f>'Dividend Yield'!D11+'Capital Gain'!D11</f>
        <v>1.2987012987012941E-2</v>
      </c>
      <c r="E11" s="7">
        <f>'Dividend Yield'!E11+'Capital Gain'!E11</f>
        <v>0.37782862954487667</v>
      </c>
      <c r="F11" s="7">
        <f>'Dividend Yield'!F11+'Capital Gain'!F11</f>
        <v>1.2195121951219686E-2</v>
      </c>
      <c r="G11" s="7">
        <f>'Dividend Yield'!G11+'Capital Gain'!G11</f>
        <v>-5.2519438438763888E-2</v>
      </c>
      <c r="H11" s="7">
        <f>'Dividend Yield'!H11+'Capital Gain'!H11</f>
        <v>4.1666666666666616E-2</v>
      </c>
      <c r="I11" s="7">
        <f>'Dividend Yield'!I11+'Capital Gain'!I11</f>
        <v>1.1870218939593851E-2</v>
      </c>
      <c r="J11" s="7">
        <f>'Dividend Yield'!J11+'Capital Gain'!J11</f>
        <v>-8.3333333333333426E-2</v>
      </c>
      <c r="K11" s="7">
        <f>'Dividend Yield'!K11+'Capital Gain'!K11</f>
        <v>-4.7376093294460644E-2</v>
      </c>
      <c r="L11" s="7">
        <f>'Dividend Yield'!L11+'Capital Gain'!L11</f>
        <v>2.2373540856031101E-2</v>
      </c>
      <c r="M11" s="7">
        <f>'Dividend Yield'!M11+'Capital Gain'!M11</f>
        <v>-3.5086761977518165E-2</v>
      </c>
      <c r="N11" s="7">
        <f>'Dividend Yield'!N11+'Capital Gain'!N11</f>
        <v>-2.5789813023854376E-3</v>
      </c>
      <c r="O11" s="7">
        <f>'Dividend Yield'!O11+'Capital Gain'!O11</f>
        <v>-2.7363940407418672E-2</v>
      </c>
      <c r="P11" s="7">
        <f>'Dividend Yield'!P11+'Capital Gain'!P11</f>
        <v>-8.0509896008052126E-3</v>
      </c>
      <c r="Q11" s="7">
        <f>'Dividend Yield'!Q11+'Capital Gain'!Q11</f>
        <v>6.428046206029641E-3</v>
      </c>
      <c r="R11" s="7">
        <f>'Dividend Yield'!R11+'Capital Gain'!R11</f>
        <v>-8.9164402173909189E-4</v>
      </c>
      <c r="S11" s="7">
        <f>'Dividend Yield'!S11+'Capital Gain'!S11</f>
        <v>-6.2093545450269176E-2</v>
      </c>
      <c r="T11" s="7">
        <f>'Dividend Yield'!T11+'Capital Gain'!T11</f>
        <v>-4.0421792618629125E-2</v>
      </c>
      <c r="U11" s="7">
        <f>'Dividend Yield'!U11+'Capital Gain'!U11</f>
        <v>4.9155145929339526E-2</v>
      </c>
      <c r="V11" s="7">
        <f>'Dividend Yield'!V11+'Capital Gain'!V11</f>
        <v>2.6960784313725526E-2</v>
      </c>
    </row>
    <row r="12" spans="1:22">
      <c r="A12" s="166"/>
      <c r="B12" s="15" t="s">
        <v>22</v>
      </c>
      <c r="C12" s="7">
        <f>'Dividend Yield'!C12+'Capital Gain'!C12</f>
        <v>-0.10643564356435647</v>
      </c>
      <c r="D12" s="7">
        <f>'Dividend Yield'!D12+'Capital Gain'!D12</f>
        <v>0</v>
      </c>
      <c r="E12" s="7">
        <f>'Dividend Yield'!E12+'Capital Gain'!E12</f>
        <v>-7.5475179922494862E-2</v>
      </c>
      <c r="F12" s="7">
        <f>'Dividend Yield'!F12+'Capital Gain'!F12</f>
        <v>-6.3253012048192808E-2</v>
      </c>
      <c r="G12" s="7">
        <f>'Dividend Yield'!G12+'Capital Gain'!G12</f>
        <v>-0.1541155866900176</v>
      </c>
      <c r="H12" s="7">
        <f>'Dividend Yield'!H12+'Capital Gain'!H12</f>
        <v>-6.2709223422970625E-2</v>
      </c>
      <c r="I12" s="7">
        <f>'Dividend Yield'!I12+'Capital Gain'!I12</f>
        <v>0</v>
      </c>
      <c r="J12" s="7">
        <f>'Dividend Yield'!J12+'Capital Gain'!J12</f>
        <v>9.5693779904307587E-3</v>
      </c>
      <c r="K12" s="7">
        <f>'Dividend Yield'!K12+'Capital Gain'!K12</f>
        <v>-5.1262433052792572E-2</v>
      </c>
      <c r="L12" s="7">
        <f>'Dividend Yield'!L12+'Capital Gain'!L12</f>
        <v>-4.7573739295908662E-2</v>
      </c>
      <c r="M12" s="7">
        <f>'Dividend Yield'!M12+'Capital Gain'!M12</f>
        <v>-6.5599728552847486E-2</v>
      </c>
      <c r="N12" s="7">
        <f>'Dividend Yield'!N12+'Capital Gain'!N12</f>
        <v>-8.8004432542247671E-2</v>
      </c>
      <c r="O12" s="7">
        <f>'Dividend Yield'!O12+'Capital Gain'!O12</f>
        <v>-4.0012503907470943E-2</v>
      </c>
      <c r="P12" s="7">
        <f>'Dividend Yield'!P12+'Capital Gain'!P12</f>
        <v>-2.5025363544132491E-2</v>
      </c>
      <c r="Q12" s="7">
        <f>'Dividend Yield'!Q12+'Capital Gain'!Q12</f>
        <v>-1.9750176761725271E-2</v>
      </c>
      <c r="R12" s="7">
        <f>'Dividend Yield'!R12+'Capital Gain'!R12</f>
        <v>3.0590786537807821E-2</v>
      </c>
      <c r="S12" s="7">
        <f>'Dividend Yield'!S12+'Capital Gain'!S12</f>
        <v>-3.6006815429146334E-2</v>
      </c>
      <c r="T12" s="7">
        <f>'Dividend Yield'!T12+'Capital Gain'!T12</f>
        <v>9.1575091575091579E-3</v>
      </c>
      <c r="U12" s="7">
        <f>'Dividend Yield'!U12+'Capital Gain'!U12</f>
        <v>-3.8067349926793476E-2</v>
      </c>
      <c r="V12" s="7">
        <f>'Dividend Yield'!V12+'Capital Gain'!V12</f>
        <v>0</v>
      </c>
    </row>
    <row r="13" spans="1:22">
      <c r="A13" s="166"/>
      <c r="B13" s="15" t="s">
        <v>23</v>
      </c>
      <c r="C13" s="7">
        <f>'Dividend Yield'!C13+'Capital Gain'!C13</f>
        <v>9.695290858725801E-3</v>
      </c>
      <c r="D13" s="7">
        <f>'Dividend Yield'!D13+'Capital Gain'!D13</f>
        <v>4.3333333333333404E-2</v>
      </c>
      <c r="E13" s="7">
        <f>'Dividend Yield'!E13+'Capital Gain'!E13</f>
        <v>1.7964071856286688E-3</v>
      </c>
      <c r="F13" s="7">
        <f>'Dividend Yield'!F13+'Capital Gain'!F13</f>
        <v>-1.6077170418006658E-3</v>
      </c>
      <c r="G13" s="7">
        <f>'Dividend Yield'!G13+'Capital Gain'!G13</f>
        <v>7.2463768115942032E-2</v>
      </c>
      <c r="H13" s="7">
        <f>'Dividend Yield'!H13+'Capital Gain'!H13</f>
        <v>-1.1560693641618524E-2</v>
      </c>
      <c r="I13" s="7">
        <f>'Dividend Yield'!I13+'Capital Gain'!I13</f>
        <v>-7.0385818561000003E-3</v>
      </c>
      <c r="J13" s="7">
        <f>'Dividend Yield'!J13+'Capital Gain'!J13</f>
        <v>7.1090047393364927E-2</v>
      </c>
      <c r="K13" s="7">
        <f>'Dividend Yield'!K13+'Capital Gain'!K13</f>
        <v>8.0645161290317994E-4</v>
      </c>
      <c r="L13" s="7">
        <f>'Dividend Yield'!L13+'Capital Gain'!L13</f>
        <v>1.998001998001998E-2</v>
      </c>
      <c r="M13" s="7">
        <f>'Dividend Yield'!M13+'Capital Gain'!M13</f>
        <v>-1.2346426193790427E-2</v>
      </c>
      <c r="N13" s="7">
        <f>'Dividend Yield'!N13+'Capital Gain'!N13</f>
        <v>-2.8351559335763579E-3</v>
      </c>
      <c r="O13" s="7">
        <f>'Dividend Yield'!O13+'Capital Gain'!O13</f>
        <v>-4.233148811462064E-2</v>
      </c>
      <c r="P13" s="7">
        <f>'Dividend Yield'!P13+'Capital Gain'!P13</f>
        <v>2.9136316337148725E-2</v>
      </c>
      <c r="Q13" s="7">
        <f>'Dividend Yield'!Q13+'Capital Gain'!Q13</f>
        <v>7.8620888632428883E-3</v>
      </c>
      <c r="R13" s="7">
        <f>'Dividend Yield'!R13+'Capital Gain'!R13</f>
        <v>3.2497441146366345E-2</v>
      </c>
      <c r="S13" s="7">
        <f>'Dividend Yield'!S13+'Capital Gain'!S13</f>
        <v>3.6755467535509782E-2</v>
      </c>
      <c r="T13" s="7">
        <f>'Dividend Yield'!T13+'Capital Gain'!T13</f>
        <v>8.8929219600725931E-2</v>
      </c>
      <c r="U13" s="7">
        <f>'Dividend Yield'!U13+'Capital Gain'!U13</f>
        <v>1.5220700152206135E-3</v>
      </c>
      <c r="V13" s="7">
        <f>'Dividend Yield'!V13+'Capital Gain'!V13</f>
        <v>5.727923627684961E-2</v>
      </c>
    </row>
    <row r="14" spans="1:22">
      <c r="A14" s="166"/>
      <c r="B14" s="15" t="s">
        <v>24</v>
      </c>
      <c r="C14" s="7">
        <f>'Dividend Yield'!C14+'Capital Gain'!C14</f>
        <v>-6.9958847736625487E-2</v>
      </c>
      <c r="D14" s="7">
        <f>'Dividend Yield'!D14+'Capital Gain'!D14</f>
        <v>-4.1666666666666644E-2</v>
      </c>
      <c r="E14" s="7">
        <f>'Dividend Yield'!E14+'Capital Gain'!E14</f>
        <v>9.4839609483961057E-2</v>
      </c>
      <c r="F14" s="7">
        <f>'Dividend Yield'!F14+'Capital Gain'!F14</f>
        <v>-4.9919484702093418E-2</v>
      </c>
      <c r="G14" s="7">
        <f>'Dividend Yield'!G14+'Capital Gain'!G14</f>
        <v>-2.7027027027027001E-2</v>
      </c>
      <c r="H14" s="7">
        <f>'Dividend Yield'!H14+'Capital Gain'!H14</f>
        <v>-6.8226120857699815E-2</v>
      </c>
      <c r="I14" s="7">
        <f>'Dividend Yield'!I14+'Capital Gain'!I14</f>
        <v>-9.0574954056182794E-2</v>
      </c>
      <c r="J14" s="7">
        <f>'Dividend Yield'!J14+'Capital Gain'!J14</f>
        <v>-1.9911504424778886E-2</v>
      </c>
      <c r="K14" s="7">
        <f>'Dividend Yield'!K14+'Capital Gain'!K14</f>
        <v>-3.0620467365028183E-2</v>
      </c>
      <c r="L14" s="7">
        <f>'Dividend Yield'!L14+'Capital Gain'!L14</f>
        <v>1.6650342801175347E-2</v>
      </c>
      <c r="M14" s="7">
        <f>'Dividend Yield'!M14+'Capital Gain'!M14</f>
        <v>-3.0577854035173779E-2</v>
      </c>
      <c r="N14" s="7">
        <f>'Dividend Yield'!N14+'Capital Gain'!N14</f>
        <v>-8.5093419983753138E-2</v>
      </c>
      <c r="O14" s="7">
        <f>'Dividend Yield'!O14+'Capital Gain'!O14</f>
        <v>6.8004080244810821E-4</v>
      </c>
      <c r="P14" s="7">
        <f>'Dividend Yield'!P14+'Capital Gain'!P14</f>
        <v>-3.1007751937984458E-2</v>
      </c>
      <c r="Q14" s="7">
        <f>'Dividend Yield'!Q14+'Capital Gain'!Q14</f>
        <v>-3.1139419674451406E-2</v>
      </c>
      <c r="R14" s="7">
        <f>'Dividend Yield'!R14+'Capital Gain'!R14</f>
        <v>1.1854605534902857E-2</v>
      </c>
      <c r="S14" s="7">
        <f>'Dividend Yield'!S14+'Capital Gain'!S14</f>
        <v>-1.4871110198212927E-2</v>
      </c>
      <c r="T14" s="7">
        <f>'Dividend Yield'!T14+'Capital Gain'!T14</f>
        <v>0.34333333333333321</v>
      </c>
      <c r="U14" s="7">
        <f>'Dividend Yield'!U14+'Capital Gain'!U14</f>
        <v>-8.8145896656534911E-2</v>
      </c>
      <c r="V14" s="7">
        <f>'Dividend Yield'!V14+'Capital Gain'!V14</f>
        <v>-4.6839729119638733E-2</v>
      </c>
    </row>
    <row r="15" spans="1:22">
      <c r="A15" s="166"/>
      <c r="B15" s="15" t="s">
        <v>25</v>
      </c>
      <c r="C15" s="7">
        <f>'Dividend Yield'!C15+'Capital Gain'!C15</f>
        <v>0</v>
      </c>
      <c r="D15" s="7">
        <f>'Dividend Yield'!D15+'Capital Gain'!D15</f>
        <v>2.1739130434782532E-2</v>
      </c>
      <c r="E15" s="7">
        <f>'Dividend Yield'!E15+'Capital Gain'!E15</f>
        <v>0.18544131028207456</v>
      </c>
      <c r="F15" s="7">
        <f>'Dividend Yield'!F15+'Capital Gain'!F15</f>
        <v>6.1016949152542396E-2</v>
      </c>
      <c r="G15" s="7">
        <f>'Dividend Yield'!G15+'Capital Gain'!G15</f>
        <v>-3.5714285714285657E-2</v>
      </c>
      <c r="H15" s="7">
        <f>'Dividend Yield'!H15+'Capital Gain'!H15</f>
        <v>3.9748953974895522E-2</v>
      </c>
      <c r="I15" s="7">
        <f>'Dividend Yield'!I15+'Capital Gain'!I15</f>
        <v>9.1801385681293299E-2</v>
      </c>
      <c r="J15" s="7">
        <f>'Dividend Yield'!J15+'Capital Gain'!J15</f>
        <v>0.19187358916478556</v>
      </c>
      <c r="K15" s="7">
        <f>'Dividend Yield'!K15+'Capital Gain'!K15</f>
        <v>0.13881961762261016</v>
      </c>
      <c r="L15" s="7">
        <f>'Dividend Yield'!L15+'Capital Gain'!L15</f>
        <v>4.6242774566473965E-2</v>
      </c>
      <c r="M15" s="7">
        <f>'Dividend Yield'!M15+'Capital Gain'!M15</f>
        <v>0.10025284450063221</v>
      </c>
      <c r="N15" s="7">
        <f>'Dividend Yield'!N15+'Capital Gain'!N15</f>
        <v>0.13529411764705895</v>
      </c>
      <c r="O15" s="7">
        <f>'Dividend Yield'!O15+'Capital Gain'!O15</f>
        <v>-2.2086306489976212E-2</v>
      </c>
      <c r="P15" s="7">
        <f>'Dividend Yield'!P15+'Capital Gain'!P15</f>
        <v>4.6956521739130432E-2</v>
      </c>
      <c r="Q15" s="7">
        <f>'Dividend Yield'!Q15+'Capital Gain'!Q15</f>
        <v>4.9080358828309176E-3</v>
      </c>
      <c r="R15" s="7">
        <f>'Dividend Yield'!R15+'Capital Gain'!R15</f>
        <v>9.3480834387884605E-3</v>
      </c>
      <c r="S15" s="7">
        <f>'Dividend Yield'!S15+'Capital Gain'!S15</f>
        <v>2.0037113488042251E-2</v>
      </c>
      <c r="T15" s="7">
        <f>'Dividend Yield'!T15+'Capital Gain'!T15</f>
        <v>2.9776674937965333E-2</v>
      </c>
      <c r="U15" s="7">
        <f>'Dividend Yield'!U15+'Capital Gain'!U15</f>
        <v>5.1666666666666687E-2</v>
      </c>
      <c r="V15" s="7">
        <f>'Dividend Yield'!V15+'Capital Gain'!V15</f>
        <v>7.6968620485493361E-3</v>
      </c>
    </row>
    <row r="16" spans="1:22">
      <c r="A16" s="166"/>
      <c r="B16" s="15" t="s">
        <v>26</v>
      </c>
      <c r="C16" s="7">
        <f>'Dividend Yield'!C16+'Capital Gain'!C16</f>
        <v>-2.5811209439528127E-3</v>
      </c>
      <c r="D16" s="7">
        <f>'Dividend Yield'!D16+'Capital Gain'!D16</f>
        <v>-2.1276595744680778E-2</v>
      </c>
      <c r="E16" s="7">
        <f>'Dividend Yield'!E16+'Capital Gain'!E16</f>
        <v>-2.7786306416948146E-2</v>
      </c>
      <c r="F16" s="7">
        <f>'Dividend Yield'!F16+'Capital Gain'!F16</f>
        <v>-7.6677316293929779E-2</v>
      </c>
      <c r="G16" s="7">
        <f>'Dividend Yield'!G16+'Capital Gain'!G16</f>
        <v>-4.3209876543209902E-2</v>
      </c>
      <c r="H16" s="7">
        <f>'Dividend Yield'!H16+'Capital Gain'!H16</f>
        <v>-7.2434607645875282E-2</v>
      </c>
      <c r="I16" s="7">
        <f>'Dividend Yield'!I16+'Capital Gain'!I16</f>
        <v>1.9301956636700077E-2</v>
      </c>
      <c r="J16" s="7">
        <f>'Dividend Yield'!J16+'Capital Gain'!J16</f>
        <v>0.12878787878787887</v>
      </c>
      <c r="K16" s="7">
        <f>'Dividend Yield'!K16+'Capital Gain'!K16</f>
        <v>-5.4014598540146029E-2</v>
      </c>
      <c r="L16" s="7">
        <f>'Dividend Yield'!L16+'Capital Gain'!L16</f>
        <v>0.30294659300184168</v>
      </c>
      <c r="M16" s="7">
        <f>'Dividend Yield'!M16+'Capital Gain'!M16</f>
        <v>5.0097667470987012E-2</v>
      </c>
      <c r="N16" s="7">
        <f>'Dividend Yield'!N16+'Capital Gain'!N16</f>
        <v>-8.1044090331410745E-2</v>
      </c>
      <c r="O16" s="7">
        <f>'Dividend Yield'!O16+'Capital Gain'!O16</f>
        <v>-4.1695621959693839E-3</v>
      </c>
      <c r="P16" s="7">
        <f>'Dividend Yield'!P16+'Capital Gain'!P16</f>
        <v>3.7522444766357493E-2</v>
      </c>
      <c r="Q16" s="7">
        <f>'Dividend Yield'!Q16+'Capital Gain'!Q16</f>
        <v>-5.2679293362409407E-3</v>
      </c>
      <c r="R16" s="7">
        <f>'Dividend Yield'!R16+'Capital Gain'!R16</f>
        <v>-1.694572514761793E-2</v>
      </c>
      <c r="S16" s="7">
        <f>'Dividend Yield'!S16+'Capital Gain'!S16</f>
        <v>-1.253015003474923E-2</v>
      </c>
      <c r="T16" s="7">
        <f>'Dividend Yield'!T16+'Capital Gain'!T16</f>
        <v>-7.2289156626506021E-2</v>
      </c>
      <c r="U16" s="7">
        <f>'Dividend Yield'!U16+'Capital Gain'!U16</f>
        <v>0.34389857369255145</v>
      </c>
      <c r="V16" s="7">
        <f>'Dividend Yield'!V16+'Capital Gain'!V16</f>
        <v>-1.6451233842538091E-2</v>
      </c>
    </row>
    <row r="17" spans="1:22">
      <c r="A17" s="166"/>
      <c r="B17" s="15" t="s">
        <v>15</v>
      </c>
      <c r="C17" s="7">
        <f>'Dividend Yield'!C17+'Capital Gain'!C17</f>
        <v>0</v>
      </c>
      <c r="D17" s="7">
        <f>'Dividend Yield'!D17+'Capital Gain'!D17</f>
        <v>0</v>
      </c>
      <c r="E17" s="7">
        <f>'Dividend Yield'!E17+'Capital Gain'!E17</f>
        <v>-0.13374388125690825</v>
      </c>
      <c r="F17" s="7">
        <f>'Dividend Yield'!F17+'Capital Gain'!F17</f>
        <v>0</v>
      </c>
      <c r="G17" s="7">
        <f>'Dividend Yield'!G17+'Capital Gain'!G17</f>
        <v>0</v>
      </c>
      <c r="H17" s="7">
        <f>'Dividend Yield'!H17+'Capital Gain'!H17</f>
        <v>-3.6876355748373162E-2</v>
      </c>
      <c r="I17" s="7">
        <f>'Dividend Yield'!I17+'Capital Gain'!I17</f>
        <v>-6.1478599221789824E-2</v>
      </c>
      <c r="J17" s="7">
        <f>'Dividend Yield'!J17+'Capital Gain'!J17</f>
        <v>4.8657718120805347E-2</v>
      </c>
      <c r="K17" s="7">
        <f>'Dividend Yield'!K17+'Capital Gain'!K17</f>
        <v>-0.12268518518518512</v>
      </c>
      <c r="L17" s="7">
        <f>'Dividend Yield'!L17+'Capital Gain'!L17</f>
        <v>-0.23886925795053002</v>
      </c>
      <c r="M17" s="7">
        <f>'Dividend Yield'!M17+'Capital Gain'!M17</f>
        <v>4.5150409108211123E-2</v>
      </c>
      <c r="N17" s="7">
        <f>'Dividend Yield'!N17+'Capital Gain'!N17</f>
        <v>-5.2659574468085134E-2</v>
      </c>
      <c r="O17" s="7">
        <f>'Dividend Yield'!O17+'Capital Gain'!O17</f>
        <v>0</v>
      </c>
      <c r="P17" s="7">
        <f>'Dividend Yield'!P17+'Capital Gain'!P17</f>
        <v>-6.4621409921670869E-2</v>
      </c>
      <c r="Q17" s="7">
        <f>'Dividend Yield'!Q17+'Capital Gain'!Q17</f>
        <v>0</v>
      </c>
      <c r="R17" s="7">
        <f>'Dividend Yield'!R17+'Capital Gain'!R17</f>
        <v>-3.7849179248775327E-3</v>
      </c>
      <c r="S17" s="7">
        <f>'Dividend Yield'!S17+'Capital Gain'!S17</f>
        <v>-1.4531453766378899E-2</v>
      </c>
      <c r="T17" s="7">
        <f>'Dividend Yield'!T17+'Capital Gain'!T17</f>
        <v>0.21298701298701306</v>
      </c>
      <c r="U17" s="7">
        <f>'Dividend Yield'!U17+'Capital Gain'!U17</f>
        <v>0.55244490854097661</v>
      </c>
      <c r="V17" s="7">
        <f>'Dividend Yield'!V17+'Capital Gain'!V17</f>
        <v>5.9737156511346663E-4</v>
      </c>
    </row>
    <row r="18" spans="1:22">
      <c r="A18" s="166"/>
      <c r="B18" s="15" t="s">
        <v>16</v>
      </c>
      <c r="C18" s="7">
        <f>'Dividend Yield'!C18+'Capital Gain'!C18</f>
        <v>0</v>
      </c>
      <c r="D18" s="7">
        <f>'Dividend Yield'!D18+'Capital Gain'!D18</f>
        <v>0</v>
      </c>
      <c r="E18" s="7">
        <f>'Dividend Yield'!E18+'Capital Gain'!E18</f>
        <v>0</v>
      </c>
      <c r="F18" s="7">
        <f>'Dividend Yield'!F18+'Capital Gain'!F18</f>
        <v>0</v>
      </c>
      <c r="G18" s="7">
        <f>'Dividend Yield'!G18+'Capital Gain'!G18</f>
        <v>0</v>
      </c>
      <c r="H18" s="7">
        <f>'Dividend Yield'!H18+'Capital Gain'!H18</f>
        <v>-1.8018018018017955E-2</v>
      </c>
      <c r="I18" s="7">
        <f>'Dividend Yield'!I18+'Capital Gain'!I18</f>
        <v>-1.2983381752742412E-2</v>
      </c>
      <c r="J18" s="7">
        <f>'Dividend Yield'!J18+'Capital Gain'!J18</f>
        <v>-6.6222680412371088E-2</v>
      </c>
      <c r="K18" s="7">
        <f>'Dividend Yield'!K18+'Capital Gain'!K18</f>
        <v>9.4605589921224809E-2</v>
      </c>
      <c r="L18" s="7">
        <f>'Dividend Yield'!L18+'Capital Gain'!L18</f>
        <v>-2.6577787796330039E-2</v>
      </c>
      <c r="M18" s="7">
        <f>'Dividend Yield'!M18+'Capital Gain'!M18</f>
        <v>0</v>
      </c>
      <c r="N18" s="7">
        <f>'Dividend Yield'!N18+'Capital Gain'!N18</f>
        <v>0</v>
      </c>
      <c r="O18" s="7">
        <f>'Dividend Yield'!O18+'Capital Gain'!O18</f>
        <v>0</v>
      </c>
      <c r="P18" s="7">
        <f>'Dividend Yield'!P18+'Capital Gain'!P18</f>
        <v>0</v>
      </c>
      <c r="Q18" s="7">
        <f>'Dividend Yield'!Q18+'Capital Gain'!Q18</f>
        <v>8.1460055345802071E-2</v>
      </c>
      <c r="R18" s="7">
        <f>'Dividend Yield'!R18+'Capital Gain'!R18</f>
        <v>0</v>
      </c>
      <c r="S18" s="7">
        <f>'Dividend Yield'!S18+'Capital Gain'!S18</f>
        <v>0</v>
      </c>
      <c r="T18" s="7">
        <f>'Dividend Yield'!T18+'Capital Gain'!T18</f>
        <v>-0.15480964431713901</v>
      </c>
      <c r="U18" s="7">
        <f>'Dividend Yield'!U18+'Capital Gain'!U18</f>
        <v>-0.22595419847328241</v>
      </c>
      <c r="V18" s="7">
        <f>'Dividend Yield'!V18+'Capital Gain'!V18</f>
        <v>8.9552238805970154E-3</v>
      </c>
    </row>
    <row r="19" spans="1:22">
      <c r="A19" s="166"/>
      <c r="B19" s="15" t="s">
        <v>17</v>
      </c>
      <c r="C19" s="7">
        <f>'Dividend Yield'!C19+'Capital Gain'!C19</f>
        <v>0</v>
      </c>
      <c r="D19" s="7">
        <f>'Dividend Yield'!D19+'Capital Gain'!D19</f>
        <v>0</v>
      </c>
      <c r="E19" s="7">
        <f>'Dividend Yield'!E19+'Capital Gain'!E19</f>
        <v>0</v>
      </c>
      <c r="F19" s="7">
        <f>'Dividend Yield'!F19+'Capital Gain'!F19</f>
        <v>0</v>
      </c>
      <c r="G19" s="7">
        <f>'Dividend Yield'!G19+'Capital Gain'!G19</f>
        <v>-4.3010752688172046E-2</v>
      </c>
      <c r="H19" s="7">
        <f>'Dividend Yield'!H19+'Capital Gain'!H19</f>
        <v>-4.5871559633027519E-2</v>
      </c>
      <c r="I19" s="7">
        <f>'Dividend Yield'!I19+'Capital Gain'!I19</f>
        <v>0</v>
      </c>
      <c r="J19" s="7">
        <f>'Dividend Yield'!J19+'Capital Gain'!J19</f>
        <v>2.5773195876288658E-2</v>
      </c>
      <c r="K19" s="7">
        <f>'Dividend Yield'!K19+'Capital Gain'!K19</f>
        <v>3.1613976705490827E-2</v>
      </c>
      <c r="L19" s="7">
        <f>'Dividend Yield'!L19+'Capital Gain'!L19</f>
        <v>-1.9267822736031104E-3</v>
      </c>
      <c r="M19" s="7">
        <f>'Dividend Yield'!M19+'Capital Gain'!M19</f>
        <v>1.7856093979441951E-2</v>
      </c>
      <c r="N19" s="7">
        <f>'Dividend Yield'!N19+'Capital Gain'!N19</f>
        <v>5.5028421099117465E-2</v>
      </c>
      <c r="O19" s="7">
        <f>'Dividend Yield'!O19+'Capital Gain'!O19</f>
        <v>0</v>
      </c>
      <c r="P19" s="7">
        <f>'Dividend Yield'!P19+'Capital Gain'!P19</f>
        <v>0</v>
      </c>
      <c r="Q19" s="7">
        <f>'Dividend Yield'!Q19+'Capital Gain'!Q19</f>
        <v>0</v>
      </c>
      <c r="R19" s="7">
        <f>'Dividend Yield'!R19+'Capital Gain'!R19</f>
        <v>0</v>
      </c>
      <c r="S19" s="7">
        <f>'Dividend Yield'!S19+'Capital Gain'!S19</f>
        <v>0</v>
      </c>
      <c r="T19" s="7">
        <f>'Dividend Yield'!T19+'Capital Gain'!T19</f>
        <v>0</v>
      </c>
      <c r="U19" s="7">
        <f>'Dividend Yield'!U19+'Capital Gain'!U19</f>
        <v>0.12524654832347129</v>
      </c>
      <c r="V19" s="7">
        <f>'Dividend Yield'!V19+'Capital Gain'!V19</f>
        <v>6.166826414653908E-2</v>
      </c>
    </row>
    <row r="20" spans="1:22">
      <c r="A20" s="176">
        <v>2023</v>
      </c>
      <c r="B20" s="14" t="s">
        <v>18</v>
      </c>
      <c r="C20" s="7">
        <f>'Dividend Yield'!C20+'Capital Gain'!C20</f>
        <v>0</v>
      </c>
      <c r="D20" s="7">
        <f>'Dividend Yield'!D20+'Capital Gain'!D20</f>
        <v>0</v>
      </c>
      <c r="E20" s="7">
        <f>'Dividend Yield'!E20+'Capital Gain'!E20</f>
        <v>0</v>
      </c>
      <c r="F20" s="7">
        <f>'Dividend Yield'!F20+'Capital Gain'!F20</f>
        <v>0</v>
      </c>
      <c r="G20" s="7">
        <f>'Dividend Yield'!G20+'Capital Gain'!G20</f>
        <v>-2.247191011235955E-2</v>
      </c>
      <c r="H20" s="7">
        <f>'Dividend Yield'!H20+'Capital Gain'!H20</f>
        <v>0.15144230769230763</v>
      </c>
      <c r="I20" s="7">
        <f>'Dividend Yield'!I20+'Capital Gain'!I20</f>
        <v>0</v>
      </c>
      <c r="J20" s="7">
        <f>'Dividend Yield'!J20+'Capital Gain'!J20</f>
        <v>-3.350083752093802E-2</v>
      </c>
      <c r="K20" s="7">
        <f>'Dividend Yield'!K20+'Capital Gain'!K20</f>
        <v>0.11290322580645161</v>
      </c>
      <c r="L20" s="7">
        <f>'Dividend Yield'!L20+'Capital Gain'!L20</f>
        <v>0</v>
      </c>
      <c r="M20" s="7">
        <f>'Dividend Yield'!M20+'Capital Gain'!M20</f>
        <v>-1.7542847250274062E-2</v>
      </c>
      <c r="N20" s="7">
        <f>'Dividend Yield'!N20+'Capital Gain'!N20</f>
        <v>0</v>
      </c>
      <c r="O20" s="7">
        <f>'Dividend Yield'!O20+'Capital Gain'!O20</f>
        <v>0</v>
      </c>
      <c r="P20" s="7">
        <f>'Dividend Yield'!P20+'Capital Gain'!P20</f>
        <v>0</v>
      </c>
      <c r="Q20" s="7">
        <f>'Dividend Yield'!Q20+'Capital Gain'!Q20</f>
        <v>0</v>
      </c>
      <c r="R20" s="7">
        <f>'Dividend Yield'!R20+'Capital Gain'!R20</f>
        <v>0</v>
      </c>
      <c r="S20" s="7">
        <f>'Dividend Yield'!S20+'Capital Gain'!S20</f>
        <v>0</v>
      </c>
      <c r="T20" s="7">
        <f>'Dividend Yield'!T20+'Capital Gain'!T20</f>
        <v>0</v>
      </c>
      <c r="U20" s="7">
        <f>'Dividend Yield'!U20+'Capital Gain'!U20</f>
        <v>7.8878177037686736E-3</v>
      </c>
      <c r="V20" s="7">
        <f>'Dividend Yield'!V20+'Capital Gain'!V20</f>
        <v>1.6138673042438663E-2</v>
      </c>
    </row>
    <row r="21" spans="1:22">
      <c r="A21" s="176"/>
      <c r="B21" s="14" t="s">
        <v>19</v>
      </c>
      <c r="C21" s="7">
        <f>'Dividend Yield'!C21+'Capital Gain'!C21</f>
        <v>0</v>
      </c>
      <c r="D21" s="7">
        <f>'Dividend Yield'!D21+'Capital Gain'!D21</f>
        <v>0</v>
      </c>
      <c r="E21" s="7">
        <f>'Dividend Yield'!E21+'Capital Gain'!E21</f>
        <v>0</v>
      </c>
      <c r="F21" s="7">
        <f>'Dividend Yield'!F21+'Capital Gain'!F21</f>
        <v>0</v>
      </c>
      <c r="G21" s="7">
        <f>'Dividend Yield'!G21+'Capital Gain'!G21</f>
        <v>-0.11724137931034485</v>
      </c>
      <c r="H21" s="7">
        <f>'Dividend Yield'!H21+'Capital Gain'!H21</f>
        <v>-8.3507306889352817E-2</v>
      </c>
      <c r="I21" s="7">
        <f>'Dividend Yield'!I21+'Capital Gain'!I21</f>
        <v>0</v>
      </c>
      <c r="J21" s="7">
        <f>'Dividend Yield'!J21+'Capital Gain'!J21</f>
        <v>6.5857885615251244E-2</v>
      </c>
      <c r="K21" s="7">
        <f>'Dividend Yield'!K21+'Capital Gain'!K21</f>
        <v>7.7536231884057893E-2</v>
      </c>
      <c r="L21" s="7">
        <f>'Dividend Yield'!L21+'Capital Gain'!L21</f>
        <v>0</v>
      </c>
      <c r="M21" s="7">
        <f>'Dividend Yield'!M21+'Capital Gain'!M21</f>
        <v>0.14719530102790016</v>
      </c>
      <c r="N21" s="7">
        <f>'Dividend Yield'!N21+'Capital Gain'!N21</f>
        <v>0</v>
      </c>
      <c r="O21" s="7">
        <f>'Dividend Yield'!O21+'Capital Gain'!O21</f>
        <v>7.6762037683182127E-2</v>
      </c>
      <c r="P21" s="7">
        <f>'Dividend Yield'!P21+'Capital Gain'!P21</f>
        <v>0</v>
      </c>
      <c r="Q21" s="7">
        <f>'Dividend Yield'!Q21+'Capital Gain'!Q21</f>
        <v>0</v>
      </c>
      <c r="R21" s="7">
        <f>'Dividend Yield'!R21+'Capital Gain'!R21</f>
        <v>0</v>
      </c>
      <c r="S21" s="7">
        <f>'Dividend Yield'!S21+'Capital Gain'!S21</f>
        <v>0</v>
      </c>
      <c r="T21" s="7">
        <f>'Dividend Yield'!T21+'Capital Gain'!T21</f>
        <v>0</v>
      </c>
      <c r="U21" s="7">
        <f>'Dividend Yield'!U21+'Capital Gain'!U21</f>
        <v>0.13652173913043469</v>
      </c>
      <c r="V21" s="7">
        <f>'Dividend Yield'!V21+'Capital Gain'!V21</f>
        <v>0</v>
      </c>
    </row>
    <row r="22" spans="1:22">
      <c r="A22" s="176"/>
      <c r="B22" s="14" t="s">
        <v>20</v>
      </c>
      <c r="C22" s="7">
        <f>'Dividend Yield'!C22+'Capital Gain'!C22</f>
        <v>0</v>
      </c>
      <c r="D22" s="7">
        <f>'Dividend Yield'!D22+'Capital Gain'!D22</f>
        <v>0</v>
      </c>
      <c r="E22" s="7">
        <f>'Dividend Yield'!E22+'Capital Gain'!E22</f>
        <v>1.8228217280349981E-2</v>
      </c>
      <c r="F22" s="7">
        <f>'Dividend Yield'!F22+'Capital Gain'!F22</f>
        <v>0</v>
      </c>
      <c r="G22" s="7">
        <f>'Dividend Yield'!G22+'Capital Gain'!G22</f>
        <v>0</v>
      </c>
      <c r="H22" s="7">
        <f>'Dividend Yield'!H22+'Capital Gain'!H22</f>
        <v>-6.8337129840546048E-3</v>
      </c>
      <c r="I22" s="7">
        <f>'Dividend Yield'!I22+'Capital Gain'!I22</f>
        <v>0</v>
      </c>
      <c r="J22" s="7">
        <f>'Dividend Yield'!J22+'Capital Gain'!J22</f>
        <v>0.17398373983739843</v>
      </c>
      <c r="K22" s="7">
        <f>'Dividend Yield'!K22+'Capital Gain'!K22</f>
        <v>4.505716207128458E-2</v>
      </c>
      <c r="L22" s="7">
        <f>'Dividend Yield'!L22+'Capital Gain'!L22</f>
        <v>0</v>
      </c>
      <c r="M22" s="7">
        <f>'Dividend Yield'!M22+'Capital Gain'!M22</f>
        <v>1.4848190056832756E-2</v>
      </c>
      <c r="N22" s="7">
        <f>'Dividend Yield'!N22+'Capital Gain'!N22</f>
        <v>0</v>
      </c>
      <c r="O22" s="7">
        <f>'Dividend Yield'!O22+'Capital Gain'!O22</f>
        <v>0</v>
      </c>
      <c r="P22" s="7">
        <f>'Dividend Yield'!P22+'Capital Gain'!P22</f>
        <v>0</v>
      </c>
      <c r="Q22" s="7">
        <f>'Dividend Yield'!Q22+'Capital Gain'!Q22</f>
        <v>0</v>
      </c>
      <c r="R22" s="7">
        <f>'Dividend Yield'!R22+'Capital Gain'!R22</f>
        <v>0</v>
      </c>
      <c r="S22" s="7">
        <f>'Dividend Yield'!S22+'Capital Gain'!S22</f>
        <v>2.0585208057638582E-2</v>
      </c>
      <c r="T22" s="7">
        <f>'Dividend Yield'!T22+'Capital Gain'!T22</f>
        <v>0</v>
      </c>
      <c r="U22" s="7">
        <f>'Dividend Yield'!U22+'Capital Gain'!U22</f>
        <v>0.25172149961744461</v>
      </c>
      <c r="V22" s="7">
        <f>'Dividend Yield'!V22+'Capital Gain'!V22</f>
        <v>0.05</v>
      </c>
    </row>
    <row r="23" spans="1:22">
      <c r="A23" s="176"/>
      <c r="B23" s="14" t="s">
        <v>21</v>
      </c>
      <c r="C23" s="7">
        <f>'Dividend Yield'!C23+'Capital Gain'!C23</f>
        <v>0</v>
      </c>
      <c r="D23" s="7">
        <f>'Dividend Yield'!D23+'Capital Gain'!D23</f>
        <v>0</v>
      </c>
      <c r="E23" s="7">
        <f>'Dividend Yield'!E23+'Capital Gain'!E23</f>
        <v>0</v>
      </c>
      <c r="F23" s="7">
        <f>'Dividend Yield'!F23+'Capital Gain'!F23</f>
        <v>2.7043261749144204E-2</v>
      </c>
      <c r="G23" s="7">
        <f>'Dividend Yield'!G23+'Capital Gain'!G23</f>
        <v>0</v>
      </c>
      <c r="H23" s="7">
        <f>'Dividend Yield'!H23+'Capital Gain'!H23</f>
        <v>2.7522935779816415E-2</v>
      </c>
      <c r="I23" s="7">
        <f>'Dividend Yield'!I23+'Capital Gain'!I23</f>
        <v>0</v>
      </c>
      <c r="J23" s="7">
        <f>'Dividend Yield'!J23+'Capital Gain'!J23</f>
        <v>-1.1080332409972259E-2</v>
      </c>
      <c r="K23" s="7">
        <f>'Dividend Yield'!K23+'Capital Gain'!K23</f>
        <v>6.7567567567567571E-2</v>
      </c>
      <c r="L23" s="7">
        <f>'Dividend Yield'!L23+'Capital Gain'!L23</f>
        <v>0</v>
      </c>
      <c r="M23" s="7">
        <f>'Dividend Yield'!M23+'Capital Gain'!M23</f>
        <v>0.12678472327329599</v>
      </c>
      <c r="N23" s="7">
        <f>'Dividend Yield'!N23+'Capital Gain'!N23</f>
        <v>0</v>
      </c>
      <c r="O23" s="7">
        <f>'Dividend Yield'!O23+'Capital Gain'!O23</f>
        <v>0</v>
      </c>
      <c r="P23" s="7">
        <f>'Dividend Yield'!P23+'Capital Gain'!P23</f>
        <v>0</v>
      </c>
      <c r="Q23" s="7">
        <f>'Dividend Yield'!Q23+'Capital Gain'!Q23</f>
        <v>0</v>
      </c>
      <c r="R23" s="7">
        <f>'Dividend Yield'!R23+'Capital Gain'!R23</f>
        <v>0</v>
      </c>
      <c r="S23" s="7">
        <f>'Dividend Yield'!S23+'Capital Gain'!S23</f>
        <v>3.6129140672589784E-3</v>
      </c>
      <c r="T23" s="7">
        <f>'Dividend Yield'!T23+'Capital Gain'!T23</f>
        <v>0</v>
      </c>
      <c r="U23" s="7">
        <f>'Dividend Yield'!U23+'Capital Gain'!U23</f>
        <v>-0.19621026894865523</v>
      </c>
      <c r="V23" s="7">
        <f>'Dividend Yield'!V23+'Capital Gain'!V23</f>
        <v>2.4649859943977621E-2</v>
      </c>
    </row>
    <row r="24" spans="1:22">
      <c r="A24" s="176"/>
      <c r="B24" s="14" t="s">
        <v>22</v>
      </c>
      <c r="C24" s="7">
        <f>'Dividend Yield'!C24+'Capital Gain'!C24</f>
        <v>2.9698315255562178E-2</v>
      </c>
      <c r="D24" s="7">
        <f>'Dividend Yield'!D24+'Capital Gain'!D24</f>
        <v>0</v>
      </c>
      <c r="E24" s="7">
        <f>'Dividend Yield'!E24+'Capital Gain'!E24</f>
        <v>0</v>
      </c>
      <c r="F24" s="7">
        <f>'Dividend Yield'!F24+'Capital Gain'!F24</f>
        <v>0</v>
      </c>
      <c r="G24" s="7">
        <f>'Dividend Yield'!G24+'Capital Gain'!G24</f>
        <v>0.52508365716753025</v>
      </c>
      <c r="H24" s="7">
        <f>'Dividend Yield'!H24+'Capital Gain'!H24</f>
        <v>0.25276883294301333</v>
      </c>
      <c r="I24" s="7">
        <f>'Dividend Yield'!I24+'Capital Gain'!I24</f>
        <v>0</v>
      </c>
      <c r="J24" s="7">
        <f>'Dividend Yield'!J24+'Capital Gain'!J24</f>
        <v>0.29971988795518195</v>
      </c>
      <c r="K24" s="7">
        <f>'Dividend Yield'!K24+'Capital Gain'!K24</f>
        <v>-6.3893911995177785E-2</v>
      </c>
      <c r="L24" s="7">
        <f>'Dividend Yield'!L24+'Capital Gain'!L24</f>
        <v>0</v>
      </c>
      <c r="M24" s="7">
        <f>'Dividend Yield'!M24+'Capital Gain'!M24</f>
        <v>-6.156532640816692E-2</v>
      </c>
      <c r="N24" s="7">
        <f>'Dividend Yield'!N24+'Capital Gain'!N24</f>
        <v>0</v>
      </c>
      <c r="O24" s="7">
        <f>'Dividend Yield'!O24+'Capital Gain'!O24</f>
        <v>0</v>
      </c>
      <c r="P24" s="7">
        <f>'Dividend Yield'!P24+'Capital Gain'!P24</f>
        <v>0</v>
      </c>
      <c r="Q24" s="7">
        <f>'Dividend Yield'!Q24+'Capital Gain'!Q24</f>
        <v>0</v>
      </c>
      <c r="R24" s="7">
        <f>'Dividend Yield'!R24+'Capital Gain'!R24</f>
        <v>3.097253768325418E-2</v>
      </c>
      <c r="S24" s="7">
        <f>'Dividend Yield'!S24+'Capital Gain'!S24</f>
        <v>-1.1929927373950518E-3</v>
      </c>
      <c r="T24" s="7">
        <f>'Dividend Yield'!T24+'Capital Gain'!T24</f>
        <v>0</v>
      </c>
      <c r="U24" s="7">
        <f>'Dividend Yield'!U24+'Capital Gain'!U24</f>
        <v>1.6730038022813601E-2</v>
      </c>
      <c r="V24" s="7">
        <f>'Dividend Yield'!V24+'Capital Gain'!V24</f>
        <v>-1.0934937124111536E-2</v>
      </c>
    </row>
    <row r="25" spans="1:22">
      <c r="A25" s="176"/>
      <c r="B25" s="14" t="s">
        <v>23</v>
      </c>
      <c r="C25" s="7">
        <f>'Dividend Yield'!C25+'Capital Gain'!C25</f>
        <v>0</v>
      </c>
      <c r="D25" s="7">
        <f>'Dividend Yield'!D25+'Capital Gain'!D25</f>
        <v>3.4907069366080325E-2</v>
      </c>
      <c r="E25" s="7">
        <f>'Dividend Yield'!E25+'Capital Gain'!E25</f>
        <v>0</v>
      </c>
      <c r="F25" s="7">
        <f>'Dividend Yield'!F25+'Capital Gain'!F25</f>
        <v>0</v>
      </c>
      <c r="G25" s="7">
        <f>'Dividend Yield'!G25+'Capital Gain'!G25</f>
        <v>-0.16580310880829019</v>
      </c>
      <c r="H25" s="7">
        <f>'Dividend Yield'!H25+'Capital Gain'!H25</f>
        <v>-0.11111111111111115</v>
      </c>
      <c r="I25" s="7">
        <f>'Dividend Yield'!I25+'Capital Gain'!I25</f>
        <v>0</v>
      </c>
      <c r="J25" s="7">
        <f>'Dividend Yield'!J25+'Capital Gain'!J25</f>
        <v>0.26831896551724144</v>
      </c>
      <c r="K25" s="7">
        <f>'Dividend Yield'!K25+'Capital Gain'!K25</f>
        <v>-1.0946555054732885E-2</v>
      </c>
      <c r="L25" s="7">
        <f>'Dividend Yield'!L25+'Capital Gain'!L25</f>
        <v>0</v>
      </c>
      <c r="M25" s="7">
        <f>'Dividend Yield'!M25+'Capital Gain'!M25</f>
        <v>-8.2064984016412944E-3</v>
      </c>
      <c r="N25" s="7">
        <f>'Dividend Yield'!N25+'Capital Gain'!N25</f>
        <v>0</v>
      </c>
      <c r="O25" s="7">
        <f>'Dividend Yield'!O25+'Capital Gain'!O25</f>
        <v>0</v>
      </c>
      <c r="P25" s="7">
        <f>'Dividend Yield'!P25+'Capital Gain'!P25</f>
        <v>0</v>
      </c>
      <c r="Q25" s="7">
        <f>'Dividend Yield'!Q25+'Capital Gain'!Q25</f>
        <v>0</v>
      </c>
      <c r="R25" s="7">
        <f>'Dividend Yield'!R25+'Capital Gain'!R25</f>
        <v>0</v>
      </c>
      <c r="S25" s="7">
        <f>'Dividend Yield'!S25+'Capital Gain'!S25</f>
        <v>2.1269016386572231E-2</v>
      </c>
      <c r="T25" s="7">
        <f>'Dividend Yield'!T25+'Capital Gain'!T25</f>
        <v>0</v>
      </c>
      <c r="U25" s="7">
        <f>'Dividend Yield'!U25+'Capital Gain'!U25</f>
        <v>-1.4958863126402395E-2</v>
      </c>
      <c r="V25" s="7">
        <f>'Dividend Yield'!V25+'Capital Gain'!V25</f>
        <v>-5.5279159756771697E-3</v>
      </c>
    </row>
    <row r="26" spans="1:22">
      <c r="A26" s="176"/>
      <c r="B26" s="14" t="s">
        <v>24</v>
      </c>
      <c r="C26" s="7">
        <f>'Dividend Yield'!C26+'Capital Gain'!C26</f>
        <v>0</v>
      </c>
      <c r="D26" s="7">
        <f>'Dividend Yield'!D26+'Capital Gain'!D26</f>
        <v>0</v>
      </c>
      <c r="E26" s="7">
        <f>'Dividend Yield'!E26+'Capital Gain'!E26</f>
        <v>0</v>
      </c>
      <c r="F26" s="7">
        <f>'Dividend Yield'!F26+'Capital Gain'!F26</f>
        <v>0</v>
      </c>
      <c r="G26" s="7">
        <f>'Dividend Yield'!G26+'Capital Gain'!G26</f>
        <v>-8.2815734989648032E-2</v>
      </c>
      <c r="H26" s="7">
        <f>'Dividend Yield'!H26+'Capital Gain'!H26</f>
        <v>0.26844262295081972</v>
      </c>
      <c r="I26" s="7">
        <f>'Dividend Yield'!I26+'Capital Gain'!I26</f>
        <v>0</v>
      </c>
      <c r="J26" s="7">
        <f>'Dividend Yield'!J26+'Capital Gain'!J26</f>
        <v>5.0127442650807062E-2</v>
      </c>
      <c r="K26" s="7">
        <f>'Dividend Yield'!K26+'Capital Gain'!K26</f>
        <v>-5.4687500000000042E-2</v>
      </c>
      <c r="L26" s="7">
        <f>'Dividend Yield'!L26+'Capital Gain'!L26</f>
        <v>0</v>
      </c>
      <c r="M26" s="7">
        <f>'Dividend Yield'!M26+'Capital Gain'!M26</f>
        <v>-7.9520854380141434E-2</v>
      </c>
      <c r="N26" s="7">
        <f>'Dividend Yield'!N26+'Capital Gain'!N26</f>
        <v>0</v>
      </c>
      <c r="O26" s="7">
        <f>'Dividend Yield'!O26+'Capital Gain'!O26</f>
        <v>0</v>
      </c>
      <c r="P26" s="7">
        <f>'Dividend Yield'!P26+'Capital Gain'!P26</f>
        <v>0</v>
      </c>
      <c r="Q26" s="7">
        <f>'Dividend Yield'!Q26+'Capital Gain'!Q26</f>
        <v>0</v>
      </c>
      <c r="R26" s="7">
        <f>'Dividend Yield'!R26+'Capital Gain'!R26</f>
        <v>0</v>
      </c>
      <c r="S26" s="7">
        <f>'Dividend Yield'!S26+'Capital Gain'!S26</f>
        <v>-1.7173810452017938E-2</v>
      </c>
      <c r="T26" s="7">
        <f>'Dividend Yield'!T26+'Capital Gain'!T26</f>
        <v>0</v>
      </c>
      <c r="U26" s="7">
        <f>'Dividend Yield'!U26+'Capital Gain'!U26</f>
        <v>1.9741837509491444E-2</v>
      </c>
      <c r="V26" s="7">
        <f>'Dividend Yield'!V26+'Capital Gain'!V26</f>
        <v>-1.3340744858254617E-2</v>
      </c>
    </row>
    <row r="27" spans="1:22">
      <c r="A27" s="176"/>
      <c r="B27" s="14" t="s">
        <v>25</v>
      </c>
      <c r="C27" s="7">
        <f>'Dividend Yield'!C27+'Capital Gain'!C27</f>
        <v>0</v>
      </c>
      <c r="D27" s="7">
        <f>'Dividend Yield'!D27+'Capital Gain'!D27</f>
        <v>0</v>
      </c>
      <c r="E27" s="7">
        <f>'Dividend Yield'!E27+'Capital Gain'!E27</f>
        <v>0</v>
      </c>
      <c r="F27" s="7">
        <f>'Dividend Yield'!F27+'Capital Gain'!F27</f>
        <v>0</v>
      </c>
      <c r="G27" s="7">
        <f>'Dividend Yield'!G27+'Capital Gain'!G27</f>
        <v>-6.0948081264108257E-2</v>
      </c>
      <c r="H27" s="7">
        <f>'Dividend Yield'!H27+'Capital Gain'!H27</f>
        <v>-8.2390953150242349E-2</v>
      </c>
      <c r="I27" s="7">
        <f>'Dividend Yield'!I27+'Capital Gain'!I27</f>
        <v>0</v>
      </c>
      <c r="J27" s="7">
        <f>'Dividend Yield'!J27+'Capital Gain'!J27</f>
        <v>-5.6634304207118825E-3</v>
      </c>
      <c r="K27" s="7">
        <f>'Dividend Yield'!K27+'Capital Gain'!K27</f>
        <v>2.0661157024793389E-2</v>
      </c>
      <c r="L27" s="7">
        <f>'Dividend Yield'!L27+'Capital Gain'!L27</f>
        <v>0</v>
      </c>
      <c r="M27" s="7">
        <f>'Dividend Yield'!M27+'Capital Gain'!M27</f>
        <v>-1.6933207902163735E-2</v>
      </c>
      <c r="N27" s="7">
        <f>'Dividend Yield'!N27+'Capital Gain'!N27</f>
        <v>0</v>
      </c>
      <c r="O27" s="7">
        <f>'Dividend Yield'!O27+'Capital Gain'!O27</f>
        <v>0</v>
      </c>
      <c r="P27" s="7">
        <f>'Dividend Yield'!P27+'Capital Gain'!P27</f>
        <v>0</v>
      </c>
      <c r="Q27" s="7">
        <f>'Dividend Yield'!Q27+'Capital Gain'!Q27</f>
        <v>0</v>
      </c>
      <c r="R27" s="7">
        <f>'Dividend Yield'!R27+'Capital Gain'!R27</f>
        <v>5.7278546355564661E-2</v>
      </c>
      <c r="S27" s="7">
        <f>'Dividend Yield'!S27+'Capital Gain'!S27</f>
        <v>7.1189979123174041E-3</v>
      </c>
      <c r="T27" s="7">
        <f>'Dividend Yield'!T27+'Capital Gain'!T27</f>
        <v>0</v>
      </c>
      <c r="U27" s="7">
        <f>'Dividend Yield'!U27+'Capital Gain'!U27</f>
        <v>-2.3082650781831887E-2</v>
      </c>
      <c r="V27" s="7">
        <f>'Dividend Yield'!V27+'Capital Gain'!V27</f>
        <v>-5.6338028169014088E-3</v>
      </c>
    </row>
    <row r="28" spans="1:22">
      <c r="A28" s="176"/>
      <c r="B28" s="14" t="s">
        <v>26</v>
      </c>
      <c r="C28" s="7">
        <f>'Dividend Yield'!C28+'Capital Gain'!C28</f>
        <v>0</v>
      </c>
      <c r="D28" s="7">
        <f>'Dividend Yield'!D28+'Capital Gain'!D28</f>
        <v>0</v>
      </c>
      <c r="E28" s="7">
        <f>'Dividend Yield'!E28+'Capital Gain'!E28</f>
        <v>0</v>
      </c>
      <c r="F28" s="7">
        <f>'Dividend Yield'!F28+'Capital Gain'!F28</f>
        <v>0</v>
      </c>
      <c r="G28" s="7">
        <f>'Dividend Yield'!G28+'Capital Gain'!G28</f>
        <v>0.7091346153846152</v>
      </c>
      <c r="H28" s="7">
        <f>'Dividend Yield'!H28+'Capital Gain'!H28</f>
        <v>8.0985915492957777E-2</v>
      </c>
      <c r="I28" s="7">
        <f>'Dividend Yield'!I28+'Capital Gain'!I28</f>
        <v>0</v>
      </c>
      <c r="J28" s="7">
        <f>'Dividend Yield'!J28+'Capital Gain'!J28</f>
        <v>-3.9869812855980513E-2</v>
      </c>
      <c r="K28" s="7">
        <f>'Dividend Yield'!K28+'Capital Gain'!K28</f>
        <v>3.3063427800269947E-2</v>
      </c>
      <c r="L28" s="7">
        <f>'Dividend Yield'!L28+'Capital Gain'!L28</f>
        <v>0</v>
      </c>
      <c r="M28" s="7">
        <f>'Dividend Yield'!M28+'Capital Gain'!M28</f>
        <v>8.2243487506645396E-2</v>
      </c>
      <c r="N28" s="7">
        <f>'Dividend Yield'!N28+'Capital Gain'!N28</f>
        <v>0</v>
      </c>
      <c r="O28" s="7">
        <f>'Dividend Yield'!O28+'Capital Gain'!O28</f>
        <v>0</v>
      </c>
      <c r="P28" s="7">
        <f>'Dividend Yield'!P28+'Capital Gain'!P28</f>
        <v>2.09351011863224E-2</v>
      </c>
      <c r="Q28" s="7">
        <f>'Dividend Yield'!Q28+'Capital Gain'!Q28</f>
        <v>0</v>
      </c>
      <c r="R28" s="7">
        <f>'Dividend Yield'!R28+'Capital Gain'!R28</f>
        <v>-3.4489493008358615E-2</v>
      </c>
      <c r="S28" s="7">
        <f>'Dividend Yield'!S28+'Capital Gain'!S28</f>
        <v>-1.2582657905101619E-2</v>
      </c>
      <c r="T28" s="7">
        <f>'Dividend Yield'!T28+'Capital Gain'!T28</f>
        <v>0</v>
      </c>
      <c r="U28" s="7">
        <f>'Dividend Yield'!U28+'Capital Gain'!U28</f>
        <v>-5.56402439024389E-2</v>
      </c>
      <c r="V28" s="7">
        <f>'Dividend Yield'!V28+'Capital Gain'!V28</f>
        <v>3.3994334277620076E-3</v>
      </c>
    </row>
    <row r="29" spans="1:22">
      <c r="A29" s="176"/>
      <c r="B29" s="14" t="s">
        <v>15</v>
      </c>
      <c r="C29" s="7">
        <f>'Dividend Yield'!C29+'Capital Gain'!C29</f>
        <v>0</v>
      </c>
      <c r="D29" s="7">
        <f>'Dividend Yield'!D29+'Capital Gain'!D29</f>
        <v>0</v>
      </c>
      <c r="E29" s="7">
        <f>'Dividend Yield'!E29+'Capital Gain'!E29</f>
        <v>0</v>
      </c>
      <c r="F29" s="7">
        <f>'Dividend Yield'!F29+'Capital Gain'!F29</f>
        <v>0</v>
      </c>
      <c r="G29" s="7">
        <f>'Dividend Yield'!G29+'Capital Gain'!G29</f>
        <v>-0.1758087201125175</v>
      </c>
      <c r="H29" s="7">
        <f>'Dividend Yield'!H29+'Capital Gain'!H29</f>
        <v>-0.13680781758957652</v>
      </c>
      <c r="I29" s="7">
        <f>'Dividend Yield'!I29+'Capital Gain'!I29</f>
        <v>0</v>
      </c>
      <c r="J29" s="7">
        <f>'Dividend Yield'!J29+'Capital Gain'!J29</f>
        <v>7.711864406779656E-2</v>
      </c>
      <c r="K29" s="7">
        <f>'Dividend Yield'!K29+'Capital Gain'!K29</f>
        <v>-1.3063357282820944E-3</v>
      </c>
      <c r="L29" s="7">
        <f>'Dividend Yield'!L29+'Capital Gain'!L29</f>
        <v>0</v>
      </c>
      <c r="M29" s="7">
        <f>'Dividend Yield'!M29+'Capital Gain'!M29</f>
        <v>5.5338531651228227E-2</v>
      </c>
      <c r="N29" s="7">
        <f>'Dividend Yield'!N29+'Capital Gain'!N29</f>
        <v>0</v>
      </c>
      <c r="O29" s="7">
        <f>'Dividend Yield'!O29+'Capital Gain'!O29</f>
        <v>0</v>
      </c>
      <c r="P29" s="7">
        <f>'Dividend Yield'!P29+'Capital Gain'!P29</f>
        <v>0</v>
      </c>
      <c r="Q29" s="7">
        <f>'Dividend Yield'!Q29+'Capital Gain'!Q29</f>
        <v>0</v>
      </c>
      <c r="R29" s="7">
        <f>'Dividend Yield'!R29+'Capital Gain'!R29</f>
        <v>-1.1327319066306008E-3</v>
      </c>
      <c r="S29" s="7">
        <f>'Dividend Yield'!S29+'Capital Gain'!S29</f>
        <v>-5.6682201788634554E-4</v>
      </c>
      <c r="T29" s="7">
        <f>'Dividend Yield'!T29+'Capital Gain'!T29</f>
        <v>0</v>
      </c>
      <c r="U29" s="7">
        <f>'Dividend Yield'!U29+'Capital Gain'!U29</f>
        <v>-2.614646165856524E-2</v>
      </c>
      <c r="V29" s="7">
        <f>'Dividend Yield'!V29+'Capital Gain'!V29</f>
        <v>3.3879164313946604E-3</v>
      </c>
    </row>
    <row r="30" spans="1:22">
      <c r="A30" s="176"/>
      <c r="B30" s="14" t="s">
        <v>16</v>
      </c>
      <c r="C30" s="7">
        <f>'Dividend Yield'!C30+'Capital Gain'!C30</f>
        <v>0</v>
      </c>
      <c r="D30" s="7">
        <f>'Dividend Yield'!D30+'Capital Gain'!D30</f>
        <v>0</v>
      </c>
      <c r="E30" s="7">
        <f>'Dividend Yield'!E30+'Capital Gain'!E30</f>
        <v>0</v>
      </c>
      <c r="F30" s="7">
        <f>'Dividend Yield'!F30+'Capital Gain'!F30</f>
        <v>0</v>
      </c>
      <c r="G30" s="7">
        <f>'Dividend Yield'!G30+'Capital Gain'!G30</f>
        <v>-8.7030716723549506E-2</v>
      </c>
      <c r="H30" s="7">
        <f>'Dividend Yield'!H30+'Capital Gain'!H30</f>
        <v>-4.3396226415094288E-2</v>
      </c>
      <c r="I30" s="7">
        <f>'Dividend Yield'!I30+'Capital Gain'!I30</f>
        <v>2.9027576197387515E-2</v>
      </c>
      <c r="J30" s="7">
        <f>'Dividend Yield'!J30+'Capital Gain'!J30</f>
        <v>-3.2813713329420756E-2</v>
      </c>
      <c r="K30" s="7">
        <f>'Dividend Yield'!K30+'Capital Gain'!K30</f>
        <v>-2.1540715624554806E-2</v>
      </c>
      <c r="L30" s="7">
        <f>'Dividend Yield'!L30+'Capital Gain'!L30</f>
        <v>1.9305019305019305E-2</v>
      </c>
      <c r="M30" s="7">
        <f>'Dividend Yield'!M30+'Capital Gain'!M30</f>
        <v>-2.4279685301932977E-2</v>
      </c>
      <c r="N30" s="7">
        <f>'Dividend Yield'!N30+'Capital Gain'!N30</f>
        <v>0</v>
      </c>
      <c r="O30" s="7">
        <f>'Dividend Yield'!O30+'Capital Gain'!O30</f>
        <v>0</v>
      </c>
      <c r="P30" s="7">
        <f>'Dividend Yield'!P30+'Capital Gain'!P30</f>
        <v>0</v>
      </c>
      <c r="Q30" s="7">
        <f>'Dividend Yield'!Q30+'Capital Gain'!Q30</f>
        <v>5.1317842187371702E-3</v>
      </c>
      <c r="R30" s="7">
        <f>'Dividend Yield'!R30+'Capital Gain'!R30</f>
        <v>-1.9278279535053223E-2</v>
      </c>
      <c r="S30" s="7">
        <f>'Dividend Yield'!S30+'Capital Gain'!S30</f>
        <v>0</v>
      </c>
      <c r="T30" s="7">
        <f>'Dividend Yield'!T30+'Capital Gain'!T30</f>
        <v>1.2987012987012988E-2</v>
      </c>
      <c r="U30" s="7">
        <f>'Dividend Yield'!U30+'Capital Gain'!U30</f>
        <v>-8.060453400503774E-2</v>
      </c>
      <c r="V30" s="7">
        <f>'Dividend Yield'!V30+'Capital Gain'!V30</f>
        <v>5.6274620146326809E-4</v>
      </c>
    </row>
    <row r="31" spans="1:22">
      <c r="A31" s="176"/>
      <c r="B31" s="14" t="s">
        <v>17</v>
      </c>
      <c r="C31" s="7">
        <f>'Dividend Yield'!C31+'Capital Gain'!C31</f>
        <v>0</v>
      </c>
      <c r="D31" s="7">
        <f>'Dividend Yield'!D31+'Capital Gain'!D31</f>
        <v>0</v>
      </c>
      <c r="E31" s="7">
        <f>'Dividend Yield'!E31+'Capital Gain'!E31</f>
        <v>0</v>
      </c>
      <c r="F31" s="7">
        <f>'Dividend Yield'!F31+'Capital Gain'!F31</f>
        <v>0</v>
      </c>
      <c r="G31" s="7">
        <f>'Dividend Yield'!G31+'Capital Gain'!G31</f>
        <v>6.1682242990654154E-2</v>
      </c>
      <c r="H31" s="7">
        <f>'Dividend Yield'!H31+'Capital Gain'!H31</f>
        <v>-1.1834319526627246E-2</v>
      </c>
      <c r="I31" s="7">
        <f>'Dividend Yield'!I31+'Capital Gain'!I31</f>
        <v>0</v>
      </c>
      <c r="J31" s="7">
        <f>'Dividend Yield'!J31+'Capital Gain'!J31</f>
        <v>9.0390879478827429E-2</v>
      </c>
      <c r="K31" s="7">
        <f>'Dividend Yield'!K31+'Capital Gain'!K31</f>
        <v>6.1452513966480528E-2</v>
      </c>
      <c r="L31" s="7">
        <f>'Dividend Yield'!L31+'Capital Gain'!L31</f>
        <v>0</v>
      </c>
      <c r="M31" s="7">
        <f>'Dividend Yield'!M31+'Capital Gain'!M31</f>
        <v>0</v>
      </c>
      <c r="N31" s="7">
        <f>'Dividend Yield'!N31+'Capital Gain'!N31</f>
        <v>5.5617977528089918E-2</v>
      </c>
      <c r="O31" s="7">
        <f>'Dividend Yield'!O31+'Capital Gain'!O31</f>
        <v>0</v>
      </c>
      <c r="P31" s="7">
        <f>'Dividend Yield'!P31+'Capital Gain'!P31</f>
        <v>0</v>
      </c>
      <c r="Q31" s="7">
        <f>'Dividend Yield'!Q31+'Capital Gain'!Q31</f>
        <v>0</v>
      </c>
      <c r="R31" s="7">
        <f>'Dividend Yield'!R31+'Capital Gain'!R31</f>
        <v>1.618831302911411E-2</v>
      </c>
      <c r="S31" s="7">
        <f>'Dividend Yield'!S31+'Capital Gain'!S31</f>
        <v>0</v>
      </c>
      <c r="T31" s="7">
        <f>'Dividend Yield'!T31+'Capital Gain'!T31</f>
        <v>0</v>
      </c>
      <c r="U31" s="7">
        <f>'Dividend Yield'!U31+'Capital Gain'!U31</f>
        <v>6.9406392694063873E-2</v>
      </c>
      <c r="V31" s="7">
        <f>'Dividend Yield'!V31+'Capital Gain'!V31</f>
        <v>2.4845373556791985E-2</v>
      </c>
    </row>
    <row r="32" spans="1:22">
      <c r="A32" s="167">
        <v>2024</v>
      </c>
      <c r="B32" s="16" t="s">
        <v>18</v>
      </c>
      <c r="C32" s="7">
        <f>'Dividend Yield'!C32+'Capital Gain'!C32</f>
        <v>5.2861685214626322E-2</v>
      </c>
      <c r="D32" s="7">
        <f>'Dividend Yield'!D32+'Capital Gain'!D32</f>
        <v>-0.10687022900763361</v>
      </c>
      <c r="E32" s="7">
        <f>'Dividend Yield'!E32+'Capital Gain'!E32</f>
        <v>-0.45497630331753558</v>
      </c>
      <c r="F32" s="7">
        <f>'Dividend Yield'!F32+'Capital Gain'!F32</f>
        <v>-0.13403880070546739</v>
      </c>
      <c r="G32" s="7">
        <f>'Dividend Yield'!G32+'Capital Gain'!G32</f>
        <v>2.9929577464788783E-2</v>
      </c>
      <c r="H32" s="7">
        <f>'Dividend Yield'!H32+'Capital Gain'!H32</f>
        <v>1.9960079840319361E-2</v>
      </c>
      <c r="I32" s="7">
        <f>'Dividend Yield'!I32+'Capital Gain'!I32</f>
        <v>-0.13701015965166916</v>
      </c>
      <c r="J32" s="7">
        <f>'Dividend Yield'!J32+'Capital Gain'!J32</f>
        <v>-5.9746079163555737E-3</v>
      </c>
      <c r="K32" s="7">
        <f>'Dividend Yield'!K32+'Capital Gain'!K32</f>
        <v>4.6052631578946618E-3</v>
      </c>
      <c r="L32" s="7">
        <f>'Dividend Yield'!L32+'Capital Gain'!L32</f>
        <v>-0.25289575289575278</v>
      </c>
      <c r="M32" s="7">
        <f>'Dividend Yield'!M32+'Capital Gain'!M32</f>
        <v>-7.4170983072569099E-2</v>
      </c>
      <c r="N32" s="7">
        <f>'Dividend Yield'!N32+'Capital Gain'!N32</f>
        <v>-0.16404494382022466</v>
      </c>
      <c r="O32" s="7">
        <f>'Dividend Yield'!O32+'Capital Gain'!O32</f>
        <v>0</v>
      </c>
      <c r="P32" s="7">
        <f>'Dividend Yield'!P32+'Capital Gain'!P32</f>
        <v>-6.9434752267969413E-2</v>
      </c>
      <c r="Q32" s="7">
        <f>'Dividend Yield'!Q32+'Capital Gain'!Q32</f>
        <v>0</v>
      </c>
      <c r="R32" s="7">
        <f>'Dividend Yield'!R32+'Capital Gain'!R32</f>
        <v>2.4261389035640377E-2</v>
      </c>
      <c r="S32" s="7">
        <f>'Dividend Yield'!S32+'Capital Gain'!S32</f>
        <v>4.7745079505114835E-2</v>
      </c>
      <c r="T32" s="7">
        <f>'Dividend Yield'!T32+'Capital Gain'!T32</f>
        <v>-0.22987012987012992</v>
      </c>
      <c r="U32" s="7">
        <f>'Dividend Yield'!U32+'Capital Gain'!U32</f>
        <v>9.2228864218616674E-2</v>
      </c>
      <c r="V32" s="7">
        <f>'Dividend Yield'!V32+'Capital Gain'!V32</f>
        <v>8.3086053412463248E-3</v>
      </c>
    </row>
    <row r="33" spans="1:22">
      <c r="A33" s="167"/>
      <c r="B33" s="16" t="s">
        <v>19</v>
      </c>
      <c r="C33" s="7">
        <f>'Dividend Yield'!C33+'Capital Gain'!C33</f>
        <v>0.13250283125707821</v>
      </c>
      <c r="D33" s="7">
        <f>'Dividend Yield'!D33+'Capital Gain'!D33</f>
        <v>1.7094017094017186E-2</v>
      </c>
      <c r="E33" s="7">
        <f>'Dividend Yield'!E33+'Capital Gain'!E33</f>
        <v>2.5752508361204119E-2</v>
      </c>
      <c r="F33" s="7">
        <f>'Dividend Yield'!F33+'Capital Gain'!F33</f>
        <v>-4.2769857433808581E-2</v>
      </c>
      <c r="G33" s="7">
        <f>'Dividend Yield'!G33+'Capital Gain'!G33</f>
        <v>-6.6666666666666638E-2</v>
      </c>
      <c r="H33" s="7">
        <f>'Dividend Yield'!H33+'Capital Gain'!H33</f>
        <v>-1.9569471624266144E-2</v>
      </c>
      <c r="I33" s="7">
        <f>'Dividend Yield'!I33+'Capital Gain'!I33</f>
        <v>0.46787756474941139</v>
      </c>
      <c r="J33" s="7">
        <f>'Dividend Yield'!J33+'Capital Gain'!J33</f>
        <v>0.19534184823441023</v>
      </c>
      <c r="K33" s="7">
        <f>'Dividend Yield'!K33+'Capital Gain'!K33</f>
        <v>-4.9115913555992145E-2</v>
      </c>
      <c r="L33" s="7">
        <f>'Dividend Yield'!L33+'Capital Gain'!L33</f>
        <v>4.7803617571059283E-2</v>
      </c>
      <c r="M33" s="7">
        <f>'Dividend Yield'!M33+'Capital Gain'!M33</f>
        <v>5.8311223901257432E-2</v>
      </c>
      <c r="N33" s="7">
        <f>'Dividend Yield'!N33+'Capital Gain'!N33</f>
        <v>8.0645161290322578E-2</v>
      </c>
      <c r="O33" s="7">
        <f>'Dividend Yield'!O33+'Capital Gain'!O33</f>
        <v>4.3614794138171667E-2</v>
      </c>
      <c r="P33" s="7">
        <f>'Dividend Yield'!P33+'Capital Gain'!P33</f>
        <v>1.6122984626921678E-2</v>
      </c>
      <c r="Q33" s="7">
        <f>'Dividend Yield'!Q33+'Capital Gain'!Q33</f>
        <v>-0.22522374579193699</v>
      </c>
      <c r="R33" s="7">
        <f>'Dividend Yield'!R33+'Capital Gain'!R33</f>
        <v>-1.7854308839866688E-3</v>
      </c>
      <c r="S33" s="7">
        <f>'Dividend Yield'!S33+'Capital Gain'!S33</f>
        <v>3.9494787489975577E-3</v>
      </c>
      <c r="T33" s="7">
        <f>'Dividend Yield'!T33+'Capital Gain'!T33</f>
        <v>-7.0826306913996565E-2</v>
      </c>
      <c r="U33" s="7">
        <f>'Dividend Yield'!U33+'Capital Gain'!U33</f>
        <v>-2.9710711493354271E-2</v>
      </c>
      <c r="V33" s="7">
        <f>'Dividend Yield'!V33+'Capital Gain'!V33</f>
        <v>2.7074749852854588E-2</v>
      </c>
    </row>
    <row r="34" spans="1:22">
      <c r="A34" s="167"/>
      <c r="B34" s="16" t="s">
        <v>20</v>
      </c>
      <c r="C34" s="7">
        <f>'Dividend Yield'!C34+'Capital Gain'!C34</f>
        <v>-5.8333333333333334E-2</v>
      </c>
      <c r="D34" s="7">
        <f>'Dividend Yield'!D34+'Capital Gain'!D34</f>
        <v>0</v>
      </c>
      <c r="E34" s="7">
        <f>'Dividend Yield'!E34+'Capital Gain'!E34</f>
        <v>-0.15226605803716992</v>
      </c>
      <c r="F34" s="7">
        <f>'Dividend Yield'!F34+'Capital Gain'!F34</f>
        <v>-0.13191489361702133</v>
      </c>
      <c r="G34" s="7">
        <f>'Dividend Yield'!G34+'Capital Gain'!G34</f>
        <v>0</v>
      </c>
      <c r="H34" s="7">
        <f>'Dividend Yield'!H34+'Capital Gain'!H34</f>
        <v>-9.9800399201596807E-2</v>
      </c>
      <c r="I34" s="7">
        <f>'Dividend Yield'!I34+'Capital Gain'!I34</f>
        <v>0.13748854262144822</v>
      </c>
      <c r="J34" s="7">
        <f>'Dividend Yield'!J34+'Capital Gain'!J34</f>
        <v>0.11879321181646767</v>
      </c>
      <c r="K34" s="7">
        <f>'Dividend Yield'!K34+'Capital Gain'!K34</f>
        <v>4.7520661157024836E-2</v>
      </c>
      <c r="L34" s="7">
        <f>'Dividend Yield'!L34+'Capital Gain'!L34</f>
        <v>-0.1134401972872995</v>
      </c>
      <c r="M34" s="7">
        <f>'Dividend Yield'!M34+'Capital Gain'!M34</f>
        <v>-3.4879284974658052E-2</v>
      </c>
      <c r="N34" s="7">
        <f>'Dividend Yield'!N34+'Capital Gain'!N34</f>
        <v>-8.3333333333333356E-2</v>
      </c>
      <c r="O34" s="7">
        <f>'Dividend Yield'!O34+'Capital Gain'!O34</f>
        <v>-0.17027215631542222</v>
      </c>
      <c r="P34" s="7">
        <f>'Dividend Yield'!P34+'Capital Gain'!P34</f>
        <v>-2.8782287822878269E-2</v>
      </c>
      <c r="Q34" s="7">
        <f>'Dividend Yield'!Q34+'Capital Gain'!Q34</f>
        <v>-0.17761763459092839</v>
      </c>
      <c r="R34" s="7">
        <f>'Dividend Yield'!R34+'Capital Gain'!R34</f>
        <v>-2.8220517508645016E-2</v>
      </c>
      <c r="S34" s="7">
        <f>'Dividend Yield'!S34+'Capital Gain'!S34</f>
        <v>-6.3861653054296419E-2</v>
      </c>
      <c r="T34" s="7">
        <f>'Dividend Yield'!T34+'Capital Gain'!T34</f>
        <v>-0.18330308529945555</v>
      </c>
      <c r="U34" s="7">
        <f>'Dividend Yield'!U34+'Capital Gain'!U34</f>
        <v>-3.8678485092667185E-2</v>
      </c>
      <c r="V34" s="7">
        <f>'Dividend Yield'!V34+'Capital Gain'!V34</f>
        <v>-6.8767908309454936E-3</v>
      </c>
    </row>
    <row r="35" spans="1:22">
      <c r="A35" s="167"/>
      <c r="B35" s="16" t="s">
        <v>21</v>
      </c>
      <c r="C35" s="7">
        <f>'Dividend Yield'!C35+'Capital Gain'!C35</f>
        <v>-3.7522123893805263E-2</v>
      </c>
      <c r="D35" s="7">
        <f>'Dividend Yield'!D35+'Capital Gain'!D35</f>
        <v>0</v>
      </c>
      <c r="E35" s="7">
        <f>'Dividend Yield'!E35+'Capital Gain'!E35</f>
        <v>-0.13753060619534602</v>
      </c>
      <c r="F35" s="7">
        <f>'Dividend Yield'!F35+'Capital Gain'!F35</f>
        <v>-5.0255007663442638E-2</v>
      </c>
      <c r="G35" s="7">
        <f>'Dividend Yield'!G35+'Capital Gain'!G35</f>
        <v>6.4102564102564097E-2</v>
      </c>
      <c r="H35" s="7">
        <f>'Dividend Yield'!H35+'Capital Gain'!H35</f>
        <v>-4.2128603104212826E-2</v>
      </c>
      <c r="I35" s="7">
        <f>'Dividend Yield'!I35+'Capital Gain'!I35</f>
        <v>0.45950846091861408</v>
      </c>
      <c r="J35" s="7">
        <f>'Dividend Yield'!J35+'Capital Gain'!J35</f>
        <v>-1.1235955056179137E-3</v>
      </c>
      <c r="K35" s="7">
        <f>'Dividend Yield'!K35+'Capital Gain'!K35</f>
        <v>-5.2596975673898753E-2</v>
      </c>
      <c r="L35" s="7">
        <f>'Dividend Yield'!L35+'Capital Gain'!L35</f>
        <v>-7.3713490959666353E-2</v>
      </c>
      <c r="M35" s="7">
        <f>'Dividend Yield'!M35+'Capital Gain'!M35</f>
        <v>-3.7777401321362009E-2</v>
      </c>
      <c r="N35" s="7">
        <f>'Dividend Yield'!N35+'Capital Gain'!N35</f>
        <v>1.7639077340569839E-2</v>
      </c>
      <c r="O35" s="7">
        <f>'Dividend Yield'!O35+'Capital Gain'!O35</f>
        <v>-8.4104289318755257E-3</v>
      </c>
      <c r="P35" s="7">
        <f>'Dividend Yield'!P35+'Capital Gain'!P35</f>
        <v>-2.507598784194516E-2</v>
      </c>
      <c r="Q35" s="7">
        <f>'Dividend Yield'!Q35+'Capital Gain'!Q35</f>
        <v>-9.4072164948453014E-3</v>
      </c>
      <c r="R35" s="7">
        <f>'Dividend Yield'!R35+'Capital Gain'!R35</f>
        <v>-4.7609309174199387E-2</v>
      </c>
      <c r="S35" s="7">
        <f>'Dividend Yield'!S35+'Capital Gain'!S35</f>
        <v>-3.3145345336648355E-2</v>
      </c>
      <c r="T35" s="7">
        <f>'Dividend Yield'!T35+'Capital Gain'!T35</f>
        <v>4.4444444444445078E-3</v>
      </c>
      <c r="U35" s="7">
        <f>'Dividend Yield'!U35+'Capital Gain'!U35</f>
        <v>-7.7954735959765278E-2</v>
      </c>
      <c r="V35" s="7">
        <f>'Dividend Yield'!V35+'Capital Gain'!V35</f>
        <v>6.9244085401038002E-3</v>
      </c>
    </row>
    <row r="36" spans="1:22">
      <c r="A36" s="167"/>
      <c r="B36" s="16" t="s">
        <v>22</v>
      </c>
      <c r="C36" s="7">
        <f>'Dividend Yield'!C36+'Capital Gain'!C36</f>
        <v>9.226781890993864E-2</v>
      </c>
      <c r="D36" s="7">
        <f>'Dividend Yield'!D36+'Capital Gain'!D36</f>
        <v>3.3613445378151287E-2</v>
      </c>
      <c r="E36" s="7">
        <f>'Dividend Yield'!E36+'Capital Gain'!E36</f>
        <v>-9.6339113680154131E-2</v>
      </c>
      <c r="F36" s="7">
        <f>'Dividend Yield'!F36+'Capital Gain'!F36</f>
        <v>-0.12129380053908355</v>
      </c>
      <c r="G36" s="7">
        <f>'Dividend Yield'!G36+'Capital Gain'!G36</f>
        <v>-4.1925945540403367E-2</v>
      </c>
      <c r="H36" s="7">
        <f>'Dividend Yield'!H36+'Capital Gain'!H36</f>
        <v>-5.9743426632739731E-2</v>
      </c>
      <c r="I36" s="7">
        <f>'Dividend Yield'!I36+'Capital Gain'!I36</f>
        <v>9.0407177363699062E-2</v>
      </c>
      <c r="J36" s="7">
        <f>'Dividend Yield'!J36+'Capital Gain'!J36</f>
        <v>-6.749156355455567E-2</v>
      </c>
      <c r="K36" s="7">
        <f>'Dividend Yield'!K36+'Capital Gain'!K36</f>
        <v>-8.5357390700902036E-2</v>
      </c>
      <c r="L36" s="7">
        <f>'Dividend Yield'!L36+'Capital Gain'!L36</f>
        <v>-5.5555555555555497E-2</v>
      </c>
      <c r="M36" s="7">
        <f>'Dividend Yield'!M36+'Capital Gain'!M36</f>
        <v>-8.4917840375586848E-2</v>
      </c>
      <c r="N36" s="7">
        <f>'Dividend Yield'!N36+'Capital Gain'!N36</f>
        <v>-0.13200000000000009</v>
      </c>
      <c r="O36" s="7">
        <f>'Dividend Yield'!O36+'Capital Gain'!O36</f>
        <v>-5.216284987277358E-2</v>
      </c>
      <c r="P36" s="7">
        <f>'Dividend Yield'!P36+'Capital Gain'!P36</f>
        <v>-5.3000779423226896E-2</v>
      </c>
      <c r="Q36" s="7">
        <f>'Dividend Yield'!Q36+'Capital Gain'!Q36</f>
        <v>-0.17497072980356446</v>
      </c>
      <c r="R36" s="7">
        <f>'Dividend Yield'!R36+'Capital Gain'!R36</f>
        <v>-0.12797924894299006</v>
      </c>
      <c r="S36" s="7">
        <f>'Dividend Yield'!S36+'Capital Gain'!S36</f>
        <v>-7.8660975664260654E-2</v>
      </c>
      <c r="T36" s="7">
        <f>'Dividend Yield'!T36+'Capital Gain'!T36</f>
        <v>-0.11504424778761067</v>
      </c>
      <c r="U36" s="7">
        <f>'Dividend Yield'!U36+'Capital Gain'!U36</f>
        <v>-0.21545454545454548</v>
      </c>
      <c r="V36" s="7">
        <f>'Dividend Yield'!V36+'Capital Gain'!V36</f>
        <v>-2.5214899713467083E-2</v>
      </c>
    </row>
    <row r="37" spans="1:22">
      <c r="A37" s="167"/>
      <c r="B37" s="16" t="s">
        <v>23</v>
      </c>
      <c r="C37" s="7">
        <f>'Dividend Yield'!C37+'Capital Gain'!C37</f>
        <v>1.7658349328215004E-2</v>
      </c>
      <c r="D37" s="7">
        <f>'Dividend Yield'!D37+'Capital Gain'!D37</f>
        <v>-8.0803052928488481E-2</v>
      </c>
      <c r="E37" s="7">
        <f>'Dividend Yield'!E37+'Capital Gain'!E37</f>
        <v>-5.597014925373138E-2</v>
      </c>
      <c r="F37" s="7">
        <f>'Dividend Yield'!F37+'Capital Gain'!F37</f>
        <v>-2.7607361963190247E-2</v>
      </c>
      <c r="G37" s="7">
        <f>'Dividend Yield'!G37+'Capital Gain'!G37</f>
        <v>-2.3809523809523888E-2</v>
      </c>
      <c r="H37" s="7">
        <f>'Dividend Yield'!H37+'Capital Gain'!H37</f>
        <v>1.5267175572519122E-2</v>
      </c>
      <c r="I37" s="7">
        <f>'Dividend Yield'!I37+'Capital Gain'!I37</f>
        <v>-3.4177215189872914E-3</v>
      </c>
      <c r="J37" s="7">
        <f>'Dividend Yield'!J37+'Capital Gain'!J37</f>
        <v>-4.2219541616406332E-3</v>
      </c>
      <c r="K37" s="7">
        <f>'Dividend Yield'!K37+'Capital Gain'!K37</f>
        <v>4.5523520485583786E-3</v>
      </c>
      <c r="L37" s="7">
        <f>'Dividend Yield'!L37+'Capital Gain'!L37</f>
        <v>2.2257551669316353E-2</v>
      </c>
      <c r="M37" s="7">
        <f>'Dividend Yield'!M37+'Capital Gain'!M37</f>
        <v>0.11428204963765788</v>
      </c>
      <c r="N37" s="7">
        <f>'Dividend Yield'!N37+'Capital Gain'!N37</f>
        <v>4.1474654377880234E-2</v>
      </c>
      <c r="O37" s="7">
        <f>'Dividend Yield'!O37+'Capital Gain'!O37</f>
        <v>0.10827740492170017</v>
      </c>
      <c r="P37" s="7">
        <f>'Dividend Yield'!P37+'Capital Gain'!P37</f>
        <v>2.7983539094650251E-2</v>
      </c>
      <c r="Q37" s="7">
        <f>'Dividend Yield'!Q37+'Capital Gain'!Q37</f>
        <v>0.21428571428571425</v>
      </c>
      <c r="R37" s="7">
        <f>'Dividend Yield'!R37+'Capital Gain'!R37</f>
        <v>0.13311413341304243</v>
      </c>
      <c r="S37" s="7">
        <f>'Dividend Yield'!S37+'Capital Gain'!S37</f>
        <v>0.11571951781513022</v>
      </c>
      <c r="T37" s="7">
        <f>'Dividend Yield'!T37+'Capital Gain'!T37</f>
        <v>-5.2500000000000033E-2</v>
      </c>
      <c r="U37" s="7">
        <f>'Dividend Yield'!U37+'Capital Gain'!U37</f>
        <v>0.14831981460023172</v>
      </c>
      <c r="V37" s="7">
        <f>'Dividend Yield'!V37+'Capital Gain'!V37</f>
        <v>2.6455026455026457E-2</v>
      </c>
    </row>
    <row r="38" spans="1:22">
      <c r="A38" s="167"/>
      <c r="B38" s="16" t="s">
        <v>24</v>
      </c>
      <c r="C38" s="7">
        <f>'Dividend Yield'!C38+'Capital Gain'!C38</f>
        <v>8.1855903432666841E-2</v>
      </c>
      <c r="D38" s="7">
        <f>'Dividend Yield'!D38+'Capital Gain'!D38</f>
        <v>6.1224489795918324E-2</v>
      </c>
      <c r="E38" s="7">
        <f>'Dividend Yield'!E38+'Capital Gain'!E38</f>
        <v>7.5663466967814785E-2</v>
      </c>
      <c r="F38" s="7">
        <f>'Dividend Yield'!F38+'Capital Gain'!F38</f>
        <v>0</v>
      </c>
      <c r="G38" s="7">
        <f>'Dividend Yield'!G38+'Capital Gain'!G38</f>
        <v>5.4409005628517935E-2</v>
      </c>
      <c r="H38" s="7">
        <f>'Dividend Yield'!H38+'Capital Gain'!H38</f>
        <v>-3.7593984962406013E-2</v>
      </c>
      <c r="I38" s="7">
        <f>'Dividend Yield'!I38+'Capital Gain'!I38</f>
        <v>8.192556839832342E-2</v>
      </c>
      <c r="J38" s="7">
        <f>'Dividend Yield'!J38+'Capital Gain'!J38</f>
        <v>-1.2719563900666229E-2</v>
      </c>
      <c r="K38" s="7">
        <f>'Dividend Yield'!K38+'Capital Gain'!K38</f>
        <v>-9.7432024169184325E-2</v>
      </c>
      <c r="L38" s="7">
        <f>'Dividend Yield'!L38+'Capital Gain'!L38</f>
        <v>-2.6438569206842857E-2</v>
      </c>
      <c r="M38" s="7">
        <f>'Dividend Yield'!M38+'Capital Gain'!M38</f>
        <v>-4.564028776978421E-2</v>
      </c>
      <c r="N38" s="7">
        <f>'Dividend Yield'!N38+'Capital Gain'!N38</f>
        <v>-7.8171091445427693E-2</v>
      </c>
      <c r="O38" s="7">
        <f>'Dividend Yield'!O38+'Capital Gain'!O38</f>
        <v>1.937828017763428E-2</v>
      </c>
      <c r="P38" s="7">
        <f>'Dividend Yield'!P38+'Capital Gain'!P38</f>
        <v>-2.8422738190552532E-2</v>
      </c>
      <c r="Q38" s="7">
        <f>'Dividend Yield'!Q38+'Capital Gain'!Q38</f>
        <v>-7.7911959485781071E-2</v>
      </c>
      <c r="R38" s="7">
        <f>'Dividend Yield'!R38+'Capital Gain'!R38</f>
        <v>7.6939986810287972E-3</v>
      </c>
      <c r="S38" s="7">
        <f>'Dividend Yield'!S38+'Capital Gain'!S38</f>
        <v>3.6456521739130394E-2</v>
      </c>
      <c r="T38" s="7">
        <f>'Dividend Yield'!T38+'Capital Gain'!T38</f>
        <v>2.6385224274406709E-3</v>
      </c>
      <c r="U38" s="7">
        <f>'Dividend Yield'!U38+'Capital Gain'!U38</f>
        <v>-6.7608476286579108E-2</v>
      </c>
      <c r="V38" s="7">
        <f>'Dividend Yield'!V38+'Capital Gain'!V38</f>
        <v>2.2336769759450203E-2</v>
      </c>
    </row>
    <row r="39" spans="1:22">
      <c r="A39" s="167"/>
      <c r="B39" s="16" t="s">
        <v>25</v>
      </c>
      <c r="C39" s="7">
        <f>'Dividend Yield'!C39+'Capital Gain'!C39</f>
        <v>0.44456066945606693</v>
      </c>
      <c r="D39" s="7">
        <f>'Dividend Yield'!D39+'Capital Gain'!D39</f>
        <v>0.19230769230769229</v>
      </c>
      <c r="E39" s="7">
        <f>'Dividend Yield'!E39+'Capital Gain'!E39</f>
        <v>0.23989501312335959</v>
      </c>
      <c r="F39" s="7">
        <f>'Dividend Yield'!F39+'Capital Gain'!F39</f>
        <v>0.36593059936908512</v>
      </c>
      <c r="G39" s="7">
        <f>'Dividend Yield'!G39+'Capital Gain'!G39</f>
        <v>-0.1405693950177937</v>
      </c>
      <c r="H39" s="7">
        <f>'Dividend Yield'!H39+'Capital Gain'!H39</f>
        <v>1.5625000000000038E-2</v>
      </c>
      <c r="I39" s="7">
        <f>'Dividend Yield'!I39+'Capital Gain'!I39</f>
        <v>-0.18138060577600379</v>
      </c>
      <c r="J39" s="7">
        <f>'Dividend Yield'!J39+'Capital Gain'!J39</f>
        <v>-1.5337423312883436E-2</v>
      </c>
      <c r="K39" s="7">
        <f>'Dividend Yield'!K39+'Capital Gain'!K39</f>
        <v>0.68284518828451879</v>
      </c>
      <c r="L39" s="7">
        <f>'Dividend Yield'!L39+'Capital Gain'!L39</f>
        <v>0.13578274760383374</v>
      </c>
      <c r="M39" s="7">
        <f>'Dividend Yield'!M39+'Capital Gain'!M39</f>
        <v>4.0767096852008321E-2</v>
      </c>
      <c r="N39" s="7">
        <f>'Dividend Yield'!N39+'Capital Gain'!N39</f>
        <v>0.22079999999999994</v>
      </c>
      <c r="O39" s="7">
        <f>'Dividend Yield'!O39+'Capital Gain'!O39</f>
        <v>0.36237623762376237</v>
      </c>
      <c r="P39" s="7">
        <f>'Dividend Yield'!P39+'Capital Gain'!P39</f>
        <v>0.32880098887515458</v>
      </c>
      <c r="Q39" s="7">
        <f>'Dividend Yield'!Q39+'Capital Gain'!Q39</f>
        <v>7.1820870299957748E-2</v>
      </c>
      <c r="R39" s="7">
        <f>'Dividend Yield'!R39+'Capital Gain'!R39</f>
        <v>-1.2347294938918054E-2</v>
      </c>
      <c r="S39" s="7">
        <f>'Dividend Yield'!S39+'Capital Gain'!S39</f>
        <v>1.5038697904650003E-2</v>
      </c>
      <c r="T39" s="7">
        <f>'Dividend Yield'!T39+'Capital Gain'!T39</f>
        <v>9.4736842105263189E-2</v>
      </c>
      <c r="U39" s="7">
        <f>'Dividend Yield'!U39+'Capital Gain'!U39</f>
        <v>-1.4069264069264191E-2</v>
      </c>
      <c r="V39" s="7">
        <f>'Dividend Yield'!V39+'Capital Gain'!V39</f>
        <v>8.8515406162465046E-2</v>
      </c>
    </row>
    <row r="40" spans="1:22">
      <c r="A40" s="167"/>
      <c r="B40" s="16" t="s">
        <v>26</v>
      </c>
      <c r="C40" s="7">
        <f>'Dividend Yield'!C40+'Capital Gain'!C40</f>
        <v>1.1103065411537555E-2</v>
      </c>
      <c r="D40" s="7">
        <f>'Dividend Yield'!D40+'Capital Gain'!D40</f>
        <v>-0.1290322580645161</v>
      </c>
      <c r="E40" s="7">
        <f>'Dividend Yield'!E40+'Capital Gain'!E40</f>
        <v>-0.1490262489415749</v>
      </c>
      <c r="F40" s="7">
        <f>'Dividend Yield'!F40+'Capital Gain'!F40</f>
        <v>-0.11085450346420317</v>
      </c>
      <c r="G40" s="7">
        <f>'Dividend Yield'!G40+'Capital Gain'!G40</f>
        <v>-0.20289855072463764</v>
      </c>
      <c r="H40" s="7">
        <f>'Dividend Yield'!H40+'Capital Gain'!H40</f>
        <v>-6.9230769230769304E-2</v>
      </c>
      <c r="I40" s="7">
        <f>'Dividend Yield'!I40+'Capital Gain'!I40</f>
        <v>0.1316506525168506</v>
      </c>
      <c r="J40" s="7">
        <f>'Dividend Yield'!J40+'Capital Gain'!J40</f>
        <v>2.1806853582554516E-2</v>
      </c>
      <c r="K40" s="7">
        <f>'Dividend Yield'!K40+'Capital Gain'!K40</f>
        <v>-8.2545997016409717E-2</v>
      </c>
      <c r="L40" s="7">
        <f>'Dividend Yield'!L40+'Capital Gain'!L40</f>
        <v>-7.0323488045007043E-2</v>
      </c>
      <c r="M40" s="7">
        <f>'Dividend Yield'!M40+'Capital Gain'!M40</f>
        <v>1.0951442809131916E-2</v>
      </c>
      <c r="N40" s="7">
        <f>'Dividend Yield'!N40+'Capital Gain'!N40</f>
        <v>-0.20850547642332667</v>
      </c>
      <c r="O40" s="7">
        <f>'Dividend Yield'!O40+'Capital Gain'!O40</f>
        <v>1.8023255813953455E-2</v>
      </c>
      <c r="P40" s="7">
        <f>'Dividend Yield'!P40+'Capital Gain'!P40</f>
        <v>0.10976744186046504</v>
      </c>
      <c r="Q40" s="7">
        <f>'Dividend Yield'!Q40+'Capital Gain'!Q40</f>
        <v>-7.9490211535934829E-2</v>
      </c>
      <c r="R40" s="7">
        <f>'Dividend Yield'!R40+'Capital Gain'!R40</f>
        <v>2.1292574104342571E-2</v>
      </c>
      <c r="S40" s="7">
        <f>'Dividend Yield'!S40+'Capital Gain'!S40</f>
        <v>-1.1757655907757085E-2</v>
      </c>
      <c r="T40" s="7">
        <f>'Dividend Yield'!T40+'Capital Gain'!T40</f>
        <v>-0.16105769230769237</v>
      </c>
      <c r="U40" s="7">
        <f>'Dividend Yield'!U40+'Capital Gain'!U40</f>
        <v>3.0735455543359071E-2</v>
      </c>
      <c r="V40" s="7">
        <f>'Dividend Yield'!V40+'Capital Gain'!V40</f>
        <v>-7.9258878023674748E-2</v>
      </c>
    </row>
    <row r="41" spans="1:22">
      <c r="A41" s="167"/>
      <c r="B41" s="16" t="s">
        <v>15</v>
      </c>
      <c r="C41" s="7">
        <f>'Dividend Yield'!C41+'Capital Gain'!C41</f>
        <v>-4.7982812126999237E-2</v>
      </c>
      <c r="D41" s="7">
        <f>'Dividend Yield'!D41+'Capital Gain'!D41</f>
        <v>0.10185185185185182</v>
      </c>
      <c r="E41" s="7">
        <f>'Dividend Yield'!E41+'Capital Gain'!E41</f>
        <v>-5.7213930348258807E-2</v>
      </c>
      <c r="F41" s="7">
        <f>'Dividend Yield'!F41+'Capital Gain'!F41</f>
        <v>3.1168831168831242E-2</v>
      </c>
      <c r="G41" s="7">
        <f>'Dividend Yield'!G41+'Capital Gain'!G41</f>
        <v>-1.5584415584415621E-2</v>
      </c>
      <c r="H41" s="7">
        <f>'Dividend Yield'!H41+'Capital Gain'!H41</f>
        <v>-0.12947658402203846</v>
      </c>
      <c r="I41" s="7">
        <f>'Dividend Yield'!I41+'Capital Gain'!I41</f>
        <v>2.4204790267393191E-2</v>
      </c>
      <c r="J41" s="7">
        <f>'Dividend Yield'!J41+'Capital Gain'!J41</f>
        <v>-3.9634146341463415E-2</v>
      </c>
      <c r="K41" s="7">
        <f>'Dividend Yield'!K41+'Capital Gain'!K41</f>
        <v>-0.19783197831978319</v>
      </c>
      <c r="L41" s="7">
        <f>'Dividend Yield'!L41+'Capital Gain'!L41</f>
        <v>-4.6898638426626241E-2</v>
      </c>
      <c r="M41" s="7">
        <f>'Dividend Yield'!M41+'Capital Gain'!M41</f>
        <v>4.5946454644927789E-2</v>
      </c>
      <c r="N41" s="7">
        <f>'Dividend Yield'!N41+'Capital Gain'!N41</f>
        <v>-0.17258883248730969</v>
      </c>
      <c r="O41" s="7">
        <f>'Dividend Yield'!O41+'Capital Gain'!O41</f>
        <v>-0.10279840091376356</v>
      </c>
      <c r="P41" s="7">
        <f>'Dividend Yield'!P41+'Capital Gain'!P41</f>
        <v>-0.12415165637805697</v>
      </c>
      <c r="Q41" s="7">
        <f>'Dividend Yield'!Q41+'Capital Gain'!Q41</f>
        <v>-2.9945505132061678E-2</v>
      </c>
      <c r="R41" s="7">
        <f>'Dividend Yield'!R41+'Capital Gain'!R41</f>
        <v>-1.0424326311691642E-2</v>
      </c>
      <c r="S41" s="7">
        <f>'Dividend Yield'!S41+'Capital Gain'!S41</f>
        <v>-2.9189754312598088E-2</v>
      </c>
      <c r="T41" s="7">
        <f>'Dividend Yield'!T41+'Capital Gain'!T41</f>
        <v>-7.163323782234958E-2</v>
      </c>
      <c r="U41" s="7">
        <f>'Dividend Yield'!U41+'Capital Gain'!U41</f>
        <v>-7.4547390841320546E-2</v>
      </c>
      <c r="V41" s="7">
        <f>'Dividend Yield'!V41+'Capital Gain'!V41</f>
        <v>-1.5651201788708838E-2</v>
      </c>
    </row>
    <row r="42" spans="1:22">
      <c r="A42" s="167"/>
      <c r="B42" s="16" t="s">
        <v>16</v>
      </c>
      <c r="C42" s="7">
        <f>'Dividend Yield'!C42+'Capital Gain'!C42</f>
        <v>-6.394182547642939E-2</v>
      </c>
      <c r="D42" s="7">
        <f>'Dividend Yield'!D42+'Capital Gain'!D42</f>
        <v>-7.5630252100840359E-2</v>
      </c>
      <c r="E42" s="7">
        <f>'Dividend Yield'!E42+'Capital Gain'!E42</f>
        <v>-4.7493403693931327E-3</v>
      </c>
      <c r="F42" s="7">
        <f>'Dividend Yield'!F42+'Capital Gain'!F42</f>
        <v>3.2745591939546528E-2</v>
      </c>
      <c r="G42" s="7">
        <f>'Dividend Yield'!G42+'Capital Gain'!G42</f>
        <v>0.13456464379947233</v>
      </c>
      <c r="H42" s="7">
        <f>'Dividend Yield'!H42+'Capital Gain'!H42</f>
        <v>8.8607594936708764E-2</v>
      </c>
      <c r="I42" s="7">
        <f>'Dividend Yield'!I42+'Capital Gain'!I42</f>
        <v>0.22391822206224599</v>
      </c>
      <c r="J42" s="7">
        <f>'Dividend Yield'!J42+'Capital Gain'!J42</f>
        <v>0.35873015873015873</v>
      </c>
      <c r="K42" s="7">
        <f>'Dividend Yield'!K42+'Capital Gain'!K42</f>
        <v>4.7034047034047038E-2</v>
      </c>
      <c r="L42" s="7">
        <f>'Dividend Yield'!L42+'Capital Gain'!L42</f>
        <v>6.2569213732004428E-2</v>
      </c>
      <c r="M42" s="7">
        <f>'Dividend Yield'!M42+'Capital Gain'!M42</f>
        <v>1.9694731659282475E-3</v>
      </c>
      <c r="N42" s="7">
        <f>'Dividend Yield'!N42+'Capital Gain'!N42</f>
        <v>0.27402862985685067</v>
      </c>
      <c r="O42" s="7">
        <f>'Dividend Yield'!O42+'Capital Gain'!O42</f>
        <v>1.7504774029280714E-2</v>
      </c>
      <c r="P42" s="7">
        <f>'Dividend Yield'!P42+'Capital Gain'!P42</f>
        <v>-6.8931721659588441E-2</v>
      </c>
      <c r="Q42" s="7">
        <f>'Dividend Yield'!Q42+'Capital Gain'!Q42</f>
        <v>-4.820895522388053E-2</v>
      </c>
      <c r="R42" s="7">
        <f>'Dividend Yield'!R42+'Capital Gain'!R42</f>
        <v>1.953842119066344E-2</v>
      </c>
      <c r="S42" s="7">
        <f>'Dividend Yield'!S42+'Capital Gain'!S42</f>
        <v>-6.4248637704882566E-2</v>
      </c>
      <c r="T42" s="7">
        <f>'Dividend Yield'!T42+'Capital Gain'!T42</f>
        <v>0.20938346883468831</v>
      </c>
      <c r="U42" s="7">
        <f>'Dividend Yield'!U42+'Capital Gain'!U42</f>
        <v>-8.9625824353398581E-3</v>
      </c>
      <c r="V42" s="7">
        <f>'Dividend Yield'!V42+'Capital Gain'!V42</f>
        <v>8.5178875638841564E-2</v>
      </c>
    </row>
    <row r="43" spans="1:22">
      <c r="A43" s="167"/>
      <c r="B43" s="16" t="s">
        <v>17</v>
      </c>
      <c r="C43" s="7">
        <f>'Dividend Yield'!C43+'Capital Gain'!C43</f>
        <v>1.4465577283686021E-2</v>
      </c>
      <c r="D43" s="7">
        <f>'Dividend Yield'!D43+'Capital Gain'!D43</f>
        <v>-1.8181818181818118E-2</v>
      </c>
      <c r="E43" s="7">
        <f>'Dividend Yield'!E43+'Capital Gain'!E43</f>
        <v>-7.5821845174973479E-2</v>
      </c>
      <c r="F43" s="7">
        <f>'Dividend Yield'!F43+'Capital Gain'!F43</f>
        <v>-5.1219512195121983E-2</v>
      </c>
      <c r="G43" s="7">
        <f>'Dividend Yield'!G43+'Capital Gain'!G43</f>
        <v>-4.1860465116279007E-2</v>
      </c>
      <c r="H43" s="7">
        <f>'Dividend Yield'!H43+'Capital Gain'!H43</f>
        <v>-6.9767441860465074E-2</v>
      </c>
      <c r="I43" s="7">
        <f>'Dividend Yield'!I43+'Capital Gain'!I43</f>
        <v>-2.8058361391694726E-2</v>
      </c>
      <c r="J43" s="7">
        <f>'Dividend Yield'!J43+'Capital Gain'!J43</f>
        <v>5.7242264726989192E-2</v>
      </c>
      <c r="K43" s="7">
        <f>'Dividend Yield'!K43+'Capital Gain'!K43</f>
        <v>2.5974025974025976E-2</v>
      </c>
      <c r="L43" s="7">
        <f>'Dividend Yield'!L43+'Capital Gain'!L43</f>
        <v>2.9457364341085361E-2</v>
      </c>
      <c r="M43" s="7">
        <f>'Dividend Yield'!M43+'Capital Gain'!M43</f>
        <v>-1.7690417690417837E-2</v>
      </c>
      <c r="N43" s="7">
        <f>'Dividend Yield'!N43+'Capital Gain'!N43</f>
        <v>-8.9887640449438116E-2</v>
      </c>
      <c r="O43" s="7">
        <f>'Dividend Yield'!O43+'Capital Gain'!O43</f>
        <v>1.0634970284641958E-2</v>
      </c>
      <c r="P43" s="7">
        <f>'Dividend Yield'!P43+'Capital Gain'!P43</f>
        <v>6.3157894736842503E-3</v>
      </c>
      <c r="Q43" s="7">
        <f>'Dividend Yield'!Q43+'Capital Gain'!Q43</f>
        <v>-4.0771522659558143E-3</v>
      </c>
      <c r="R43" s="7">
        <f>'Dividend Yield'!R43+'Capital Gain'!R43</f>
        <v>-2.1307609860664444E-2</v>
      </c>
      <c r="S43" s="7">
        <f>'Dividend Yield'!S43+'Capital Gain'!S43</f>
        <v>1.242922248308161E-3</v>
      </c>
      <c r="T43" s="7">
        <f>'Dividend Yield'!T43+'Capital Gain'!T43</f>
        <v>-6.7750677506775075E-2</v>
      </c>
      <c r="U43" s="7">
        <f>'Dividend Yield'!U43+'Capital Gain'!U43</f>
        <v>1.1750881316099711E-3</v>
      </c>
      <c r="V43" s="7">
        <f>'Dividend Yield'!V43+'Capital Gain'!V43</f>
        <v>-1.5572803037380414E-2</v>
      </c>
    </row>
    <row r="44" spans="1:22">
      <c r="A44" s="176">
        <v>2025</v>
      </c>
      <c r="B44" s="14" t="s">
        <v>18</v>
      </c>
      <c r="C44" s="7">
        <f>'Dividend Yield'!C44+'Capital Gain'!C44</f>
        <v>5.7301293900184895E-2</v>
      </c>
      <c r="D44" s="7">
        <f>'Dividend Yield'!D44+'Capital Gain'!D44</f>
        <v>-4.6296296296296294E-2</v>
      </c>
      <c r="E44" s="7">
        <f>'Dividend Yield'!E44+'Capital Gain'!E44</f>
        <v>-6.5404475043029292E-2</v>
      </c>
      <c r="F44" s="7">
        <f>'Dividend Yield'!F44+'Capital Gain'!F44</f>
        <v>-9.2544987146529603E-2</v>
      </c>
      <c r="G44" s="7">
        <f>'Dividend Yield'!G44+'Capital Gain'!G44</f>
        <v>-5.3398058252427251E-2</v>
      </c>
      <c r="H44" s="7">
        <f>'Dividend Yield'!H44+'Capital Gain'!H44</f>
        <v>0</v>
      </c>
      <c r="I44" s="7">
        <f>'Dividend Yield'!I44+'Capital Gain'!I44</f>
        <v>-2.4249422632794393E-2</v>
      </c>
      <c r="J44" s="7">
        <f>'Dividend Yield'!J44+'Capital Gain'!J44</f>
        <v>-0.14824678206835332</v>
      </c>
      <c r="K44" s="7">
        <f>'Dividend Yield'!K44+'Capital Gain'!K44</f>
        <v>-2.7215189873417794E-2</v>
      </c>
      <c r="L44" s="7">
        <f>'Dividend Yield'!L44+'Capital Gain'!L44</f>
        <v>1.0542168674698623E-2</v>
      </c>
      <c r="M44" s="7">
        <f>'Dividend Yield'!M44+'Capital Gain'!M44</f>
        <v>7.5037518759380759E-3</v>
      </c>
      <c r="N44" s="7">
        <f>'Dividend Yield'!N44+'Capital Gain'!N44</f>
        <v>-1.940035273368609E-2</v>
      </c>
      <c r="O44" s="7">
        <f>'Dividend Yield'!O44+'Capital Gain'!O44</f>
        <v>3.8068709377901438E-2</v>
      </c>
      <c r="P44" s="7">
        <f>'Dividend Yield'!P44+'Capital Gain'!P44</f>
        <v>3.8354253835424191E-3</v>
      </c>
      <c r="Q44" s="7">
        <f>'Dividend Yield'!Q44+'Capital Gain'!Q44</f>
        <v>-0.21382459455203906</v>
      </c>
      <c r="R44" s="7">
        <f>'Dividend Yield'!R44+'Capital Gain'!R44</f>
        <v>1.6777641492903332E-2</v>
      </c>
      <c r="S44" s="7">
        <f>'Dividend Yield'!S44+'Capital Gain'!S44</f>
        <v>-6.3287356321839128E-2</v>
      </c>
      <c r="T44" s="7">
        <f>'Dividend Yield'!T44+'Capital Gain'!T44</f>
        <v>-6.6860465116278994E-2</v>
      </c>
      <c r="U44" s="7">
        <f>'Dividend Yield'!U44+'Capital Gain'!U44</f>
        <v>5.9859154929577399E-2</v>
      </c>
      <c r="V44" s="7">
        <f>'Dividend Yield'!V44+'Capital Gain'!V44</f>
        <v>1.8669778296382663E-2</v>
      </c>
    </row>
    <row r="45" spans="1:22">
      <c r="A45" s="176"/>
      <c r="B45" s="14" t="s">
        <v>19</v>
      </c>
      <c r="C45" s="7">
        <f>'Dividend Yield'!C45+'Capital Gain'!C45</f>
        <v>9.7402597402597539E-3</v>
      </c>
      <c r="D45" s="7">
        <f>'Dividend Yield'!D45+'Capital Gain'!D45</f>
        <v>0</v>
      </c>
      <c r="E45" s="7">
        <f>'Dividend Yield'!E45+'Capital Gain'!E45</f>
        <v>5.8317986494782037E-2</v>
      </c>
      <c r="F45" s="7">
        <f>'Dividend Yield'!F45+'Capital Gain'!F45</f>
        <v>5.0991501416430718E-2</v>
      </c>
      <c r="G45" s="7">
        <f>'Dividend Yield'!G45+'Capital Gain'!G45</f>
        <v>-3.589743589743586E-2</v>
      </c>
      <c r="H45" s="7">
        <f>'Dividend Yield'!H45+'Capital Gain'!H45</f>
        <v>-4.0625000000000022E-2</v>
      </c>
      <c r="I45" s="7">
        <f>'Dividend Yield'!I45+'Capital Gain'!I45</f>
        <v>-1.1834319526626547E-3</v>
      </c>
      <c r="J45" s="7">
        <f>'Dividend Yield'!J45+'Capital Gain'!J45</f>
        <v>4.6899426784784036E-3</v>
      </c>
      <c r="K45" s="7">
        <f>'Dividend Yield'!K45+'Capital Gain'!K45</f>
        <v>-5.009759271307735E-2</v>
      </c>
      <c r="L45" s="7">
        <f>'Dividend Yield'!L45+'Capital Gain'!L45</f>
        <v>-2.9806259314454344E-3</v>
      </c>
      <c r="M45" s="7">
        <f>'Dividend Yield'!M45+'Capital Gain'!M45</f>
        <v>8.9374379344587737E-3</v>
      </c>
      <c r="N45" s="7">
        <f>'Dividend Yield'!N45+'Capital Gain'!N45</f>
        <v>-4.136690647482022E-2</v>
      </c>
      <c r="O45" s="7">
        <f>'Dividend Yield'!O45+'Capital Gain'!O45</f>
        <v>7.9081540881634438E-2</v>
      </c>
      <c r="P45" s="7">
        <f>'Dividend Yield'!P45+'Capital Gain'!P45</f>
        <v>1.8756512678013319E-2</v>
      </c>
      <c r="Q45" s="7">
        <f>'Dividend Yield'!Q45+'Capital Gain'!Q45</f>
        <v>1.8025235329461247E-2</v>
      </c>
      <c r="R45" s="7">
        <f>'Dividend Yield'!R45+'Capital Gain'!R45</f>
        <v>2.1713842574641373E-2</v>
      </c>
      <c r="S45" s="7">
        <f>'Dividend Yield'!S45+'Capital Gain'!S45</f>
        <v>-1.8357179669668867E-2</v>
      </c>
      <c r="T45" s="7">
        <f>'Dividend Yield'!T45+'Capital Gain'!T45</f>
        <v>0.27102803738317743</v>
      </c>
      <c r="U45" s="7">
        <f>'Dividend Yield'!U45+'Capital Gain'!U45</f>
        <v>3.7652270210409809E-2</v>
      </c>
      <c r="V45" s="7">
        <f>'Dividend Yield'!V45+'Capital Gain'!V45</f>
        <v>4.0091638029783336E-3</v>
      </c>
    </row>
    <row r="46" spans="1:22">
      <c r="A46" s="176"/>
      <c r="B46" s="14" t="s">
        <v>20</v>
      </c>
      <c r="C46" s="7">
        <f>'Dividend Yield'!C46+'Capital Gain'!C46</f>
        <v>-2.6960178085579923E-2</v>
      </c>
      <c r="D46" s="7">
        <f>'Dividend Yield'!D46+'Capital Gain'!D46</f>
        <v>5.825242718446598E-2</v>
      </c>
      <c r="E46" s="7">
        <f>'Dividend Yield'!E46+'Capital Gain'!E46</f>
        <v>-6.0904872389791025E-2</v>
      </c>
      <c r="F46" s="7">
        <f>'Dividend Yield'!F46+'Capital Gain'!F46</f>
        <v>-2.6954177897574122E-2</v>
      </c>
      <c r="G46" s="7">
        <f>'Dividend Yield'!G46+'Capital Gain'!G46</f>
        <v>2.3936170212765919E-2</v>
      </c>
      <c r="H46" s="7">
        <f>'Dividend Yield'!H46+'Capital Gain'!H46</f>
        <v>-2.280130293159607E-2</v>
      </c>
      <c r="I46" s="7">
        <f>'Dividend Yield'!I46+'Capital Gain'!I46</f>
        <v>-7.1090047393365932E-3</v>
      </c>
      <c r="J46" s="7">
        <f>'Dividend Yield'!J46+'Capital Gain'!J46</f>
        <v>1.0373443983402489E-2</v>
      </c>
      <c r="K46" s="7">
        <f>'Dividend Yield'!K46+'Capital Gain'!K46</f>
        <v>8.2191780821917037E-3</v>
      </c>
      <c r="L46" s="7">
        <f>'Dividend Yield'!L46+'Capital Gain'!L46</f>
        <v>-5.979073243647319E-3</v>
      </c>
      <c r="M46" s="7">
        <f>'Dividend Yield'!M46+'Capital Gain'!M46</f>
        <v>1.8208661417322882E-2</v>
      </c>
      <c r="N46" s="7">
        <f>'Dividend Yield'!N46+'Capital Gain'!N46</f>
        <v>-3.1894934333958645E-2</v>
      </c>
      <c r="O46" s="7">
        <f>'Dividend Yield'!O46+'Capital Gain'!O46</f>
        <v>-1.9195612431444277E-2</v>
      </c>
      <c r="P46" s="7">
        <f>'Dividend Yield'!P46+'Capital Gain'!P46</f>
        <v>-1.9093078758949958E-2</v>
      </c>
      <c r="Q46" s="7">
        <f>'Dividend Yield'!Q46+'Capital Gain'!Q46</f>
        <v>-1.534526854219951E-2</v>
      </c>
      <c r="R46" s="7">
        <f>'Dividend Yield'!R46+'Capital Gain'!R46</f>
        <v>2.7113641155386961E-2</v>
      </c>
      <c r="S46" s="7">
        <f>'Dividend Yield'!S46+'Capital Gain'!S46</f>
        <v>-3.4525863146578642E-2</v>
      </c>
      <c r="T46" s="7">
        <f>'Dividend Yield'!T46+'Capital Gain'!T46</f>
        <v>9.8039215686274522E-2</v>
      </c>
      <c r="U46" s="7">
        <f>'Dividend Yield'!U46+'Capital Gain'!U46</f>
        <v>-0.10352187833511209</v>
      </c>
      <c r="V46" s="7">
        <f>'Dividend Yield'!V46+'Capital Gain'!V46</f>
        <v>1.1409013120364439E-3</v>
      </c>
    </row>
    <row r="47" spans="1:22">
      <c r="A47" s="176"/>
      <c r="B47" s="14" t="s">
        <v>21</v>
      </c>
      <c r="C47" s="7">
        <f>'Dividend Yield'!C47+'Capital Gain'!C47</f>
        <v>-2.541942043721403E-2</v>
      </c>
      <c r="D47" s="7">
        <f>'Dividend Yield'!D47+'Capital Gain'!D47</f>
        <v>-1.8348623853211107E-2</v>
      </c>
      <c r="E47" s="7">
        <f>'Dividend Yield'!E47+'Capital Gain'!E47</f>
        <v>-4.6942557134033447E-2</v>
      </c>
      <c r="F47" s="7">
        <f>'Dividend Yield'!F47+'Capital Gain'!F47</f>
        <v>-6.0941828254847723E-2</v>
      </c>
      <c r="G47" s="7">
        <f>'Dividend Yield'!G47+'Capital Gain'!G47</f>
        <v>-6.7368263919988125E-2</v>
      </c>
      <c r="H47" s="7">
        <f>'Dividend Yield'!H47+'Capital Gain'!H47</f>
        <v>3.9999999999999973E-2</v>
      </c>
      <c r="I47" s="7">
        <f>'Dividend Yield'!I47+'Capital Gain'!I47</f>
        <v>-4.7732696897373689E-3</v>
      </c>
      <c r="J47" s="7">
        <f>'Dividend Yield'!J47+'Capital Gain'!J47</f>
        <v>3.644763860369607E-2</v>
      </c>
      <c r="K47" s="7">
        <f>'Dividend Yield'!K47+'Capital Gain'!K47</f>
        <v>3.3288043478260913E-2</v>
      </c>
      <c r="L47" s="7">
        <f>'Dividend Yield'!L47+'Capital Gain'!L47</f>
        <v>-2.7067669172932289E-2</v>
      </c>
      <c r="M47" s="7">
        <f>'Dividend Yield'!M47+'Capital Gain'!M47</f>
        <v>6.2832286128564037E-3</v>
      </c>
      <c r="N47" s="7">
        <f>'Dividend Yield'!N47+'Capital Gain'!N47</f>
        <v>-4.2635658914728737E-2</v>
      </c>
      <c r="O47" s="7">
        <f>'Dividend Yield'!O47+'Capital Gain'!O47</f>
        <v>-6.9276172724448457E-2</v>
      </c>
      <c r="P47" s="7">
        <f>'Dividend Yield'!P47+'Capital Gain'!P47</f>
        <v>1.8421967327076856E-2</v>
      </c>
      <c r="Q47" s="7">
        <f>'Dividend Yield'!Q47+'Capital Gain'!Q47</f>
        <v>-1.9180819180819226E-2</v>
      </c>
      <c r="R47" s="7">
        <f>'Dividend Yield'!R47+'Capital Gain'!R47</f>
        <v>4.3271204532391666E-2</v>
      </c>
      <c r="S47" s="7">
        <f>'Dividend Yield'!S47+'Capital Gain'!S47</f>
        <v>4.3107984586156597E-2</v>
      </c>
      <c r="T47" s="7">
        <f>'Dividend Yield'!T47+'Capital Gain'!T47</f>
        <v>-9.1517857142857026E-2</v>
      </c>
      <c r="U47" s="7">
        <f>'Dividend Yield'!U47+'Capital Gain'!U47</f>
        <v>-0.15357142857142864</v>
      </c>
      <c r="V47" s="7">
        <f>'Dividend Yield'!V47+'Capital Gain'!V47</f>
        <v>-1.8803418803418868E-2</v>
      </c>
    </row>
    <row r="48" spans="1:22">
      <c r="A48" s="176"/>
      <c r="B48" s="14" t="s">
        <v>22</v>
      </c>
      <c r="C48" s="7">
        <f>'Dividend Yield'!C48+'Capital Gain'!C48</f>
        <v>0.20495892018779333</v>
      </c>
      <c r="D48" s="7">
        <f>'Dividend Yield'!D48+'Capital Gain'!D48</f>
        <v>4.8540911691779653E-2</v>
      </c>
      <c r="E48" s="7">
        <f>'Dividend Yield'!E48+'Capital Gain'!E48</f>
        <v>-2.4688401100810435E-2</v>
      </c>
      <c r="F48" s="7">
        <f>'Dividend Yield'!F48+'Capital Gain'!F48</f>
        <v>-9.1721976401179517E-3</v>
      </c>
      <c r="G48" s="7">
        <f>'Dividend Yield'!G48+'Capital Gain'!G48</f>
        <v>-2.011494252873551E-2</v>
      </c>
      <c r="H48" s="7">
        <f>'Dividend Yield'!H48+'Capital Gain'!H48</f>
        <v>-0.10897435897435893</v>
      </c>
      <c r="I48" s="7">
        <f>'Dividend Yield'!I48+'Capital Gain'!I48</f>
        <v>-3.7170263788968927E-2</v>
      </c>
      <c r="J48" s="7">
        <f>'Dividend Yield'!J48+'Capital Gain'!J48</f>
        <v>7.5284794452699297E-2</v>
      </c>
      <c r="K48" s="7">
        <f>'Dividend Yield'!K48+'Capital Gain'!K48</f>
        <v>-4.9967126890203779E-2</v>
      </c>
      <c r="L48" s="7">
        <f>'Dividend Yield'!L48+'Capital Gain'!L48</f>
        <v>-8.1916537867078892E-2</v>
      </c>
      <c r="M48" s="7">
        <f>'Dividend Yield'!M48+'Capital Gain'!M48</f>
        <v>-5.9558117195004895E-2</v>
      </c>
      <c r="N48" s="7">
        <f>'Dividend Yield'!N48+'Capital Gain'!N48</f>
        <v>-2.6315789473684154E-2</v>
      </c>
      <c r="O48" s="7">
        <f>'Dividend Yield'!O48+'Capital Gain'!O48</f>
        <v>-5.4072096128171043E-2</v>
      </c>
      <c r="P48" s="7">
        <f>'Dividend Yield'!P48+'Capital Gain'!P48</f>
        <v>-3.1058020477815779E-2</v>
      </c>
      <c r="Q48" s="7">
        <f>'Dividend Yield'!Q48+'Capital Gain'!Q48</f>
        <v>-2.7296801792625745E-2</v>
      </c>
      <c r="R48" s="7">
        <f>'Dividend Yield'!R48+'Capital Gain'!R48</f>
        <v>7.1944459238351105E-2</v>
      </c>
      <c r="S48" s="7">
        <f>'Dividend Yield'!S48+'Capital Gain'!S48</f>
        <v>-0.10816320982955926</v>
      </c>
      <c r="T48" s="7">
        <f>'Dividend Yield'!T48+'Capital Gain'!T48</f>
        <v>-2.702702702702706E-2</v>
      </c>
      <c r="U48" s="7">
        <f>'Dividend Yield'!U48+'Capital Gain'!U48</f>
        <v>-0.11673699015471165</v>
      </c>
      <c r="V48" s="7">
        <f>'Dividend Yield'!V48+'Capital Gain'!V48</f>
        <v>-2.3228803716607276E-3</v>
      </c>
    </row>
    <row r="49" spans="1:22">
      <c r="A49" s="176"/>
      <c r="B49" s="14" t="s">
        <v>23</v>
      </c>
      <c r="C49" s="7">
        <f>'Dividend Yield'!C49+'Capital Gain'!C49</f>
        <v>0.10225000000000009</v>
      </c>
      <c r="D49" s="7">
        <f>'Dividend Yield'!D49+'Capital Gain'!D49</f>
        <v>1.0204081632653024E-2</v>
      </c>
      <c r="E49" s="7">
        <f>'Dividend Yield'!E49+'Capital Gain'!E49</f>
        <v>2.8985507246376708E-2</v>
      </c>
      <c r="F49" s="7">
        <f>'Dividend Yield'!F49+'Capital Gain'!F49</f>
        <v>7.1000000000000174E-2</v>
      </c>
      <c r="G49" s="7">
        <f>'Dividend Yield'!G49+'Capital Gain'!G49</f>
        <v>0.15249266862170074</v>
      </c>
      <c r="H49" s="7">
        <f>'Dividend Yield'!H49+'Capital Gain'!H49</f>
        <v>7.4170421448308405E-2</v>
      </c>
      <c r="I49" s="7">
        <f>'Dividend Yield'!I49+'Capital Gain'!I49</f>
        <v>0.22789539227895389</v>
      </c>
      <c r="J49" s="7">
        <f>'Dividend Yield'!J49+'Capital Gain'!J49</f>
        <v>9.0741593735605794E-2</v>
      </c>
      <c r="K49" s="7">
        <f>'Dividend Yield'!K49+'Capital Gain'!K49</f>
        <v>6.228373702422145E-2</v>
      </c>
      <c r="L49" s="7">
        <f>'Dividend Yield'!L49+'Capital Gain'!L49</f>
        <v>5.0505050505050504E-2</v>
      </c>
      <c r="M49" s="7">
        <f>'Dividend Yield'!M49+'Capital Gain'!M49</f>
        <v>3.8815117466802947E-2</v>
      </c>
      <c r="N49" s="7">
        <f>'Dividend Yield'!N49+'Capital Gain'!N49</f>
        <v>3.3264033264033294E-2</v>
      </c>
      <c r="O49" s="7">
        <f>'Dividend Yield'!O49+'Capital Gain'!O49</f>
        <v>6.9513055751588032E-2</v>
      </c>
      <c r="P49" s="7">
        <f>'Dividend Yield'!P49+'Capital Gain'!P49</f>
        <v>3.5928143712575016E-2</v>
      </c>
      <c r="Q49" s="7">
        <f>'Dividend Yield'!Q49+'Capital Gain'!Q49</f>
        <v>2.2827225130890003E-2</v>
      </c>
      <c r="R49" s="7">
        <f>'Dividend Yield'!R49+'Capital Gain'!R49</f>
        <v>5.3659172935600338E-2</v>
      </c>
      <c r="S49" s="7">
        <f>'Dividend Yield'!S49+'Capital Gain'!S49</f>
        <v>1.8349183126066756E-2</v>
      </c>
      <c r="T49" s="7">
        <f>'Dividend Yield'!T49+'Capital Gain'!T49</f>
        <v>-2.525252525252561E-3</v>
      </c>
      <c r="U49" s="7">
        <f>'Dividend Yield'!U49+'Capital Gain'!U49</f>
        <v>0.11146496815286625</v>
      </c>
      <c r="V49" s="7">
        <f>'Dividend Yield'!V49+'Capital Gain'!V49</f>
        <v>6.1699650756693793E-2</v>
      </c>
    </row>
    <row r="50" spans="1:22">
      <c r="A50" s="176"/>
      <c r="B50" s="14" t="s">
        <v>24</v>
      </c>
      <c r="C50" s="7">
        <f>'Dividend Yield'!C50+'Capital Gain'!C50</f>
        <v>0.3944205035155362</v>
      </c>
      <c r="D50" s="7">
        <f>'Dividend Yield'!D50+'Capital Gain'!D50</f>
        <v>0.31313131313131309</v>
      </c>
      <c r="E50" s="7">
        <f>'Dividend Yield'!E50+'Capital Gain'!E50</f>
        <v>0.33098591549295769</v>
      </c>
      <c r="F50" s="7">
        <f>'Dividend Yield'!F50+'Capital Gain'!F50</f>
        <v>0.21428571428571416</v>
      </c>
      <c r="G50" s="7">
        <f>'Dividend Yield'!G50+'Capital Gain'!G50</f>
        <v>4.3256997455470812E-2</v>
      </c>
      <c r="H50" s="7">
        <f>'Dividend Yield'!H50+'Capital Gain'!H50</f>
        <v>0.19377162629757791</v>
      </c>
      <c r="I50" s="7">
        <f>'Dividend Yield'!I50+'Capital Gain'!I50</f>
        <v>-6.2880324543610436E-2</v>
      </c>
      <c r="J50" s="7">
        <f>'Dividend Yield'!J50+'Capital Gain'!J50</f>
        <v>9.5016891891891886E-2</v>
      </c>
      <c r="K50" s="7">
        <f>'Dividend Yield'!K50+'Capital Gain'!K50</f>
        <v>8.7296416938110785E-2</v>
      </c>
      <c r="L50" s="7">
        <f>'Dividend Yield'!L50+'Capital Gain'!L50</f>
        <v>8.4935897435897509E-2</v>
      </c>
      <c r="M50" s="7">
        <f>'Dividend Yield'!M50+'Capital Gain'!M50</f>
        <v>7.9646017699115099E-2</v>
      </c>
      <c r="N50" s="7">
        <f>'Dividend Yield'!N50+'Capital Gain'!N50</f>
        <v>0.12474849094567395</v>
      </c>
      <c r="O50" s="7">
        <f>'Dividend Yield'!O50+'Capital Gain'!O50</f>
        <v>3.2662487627845516E-2</v>
      </c>
      <c r="P50" s="7">
        <f>'Dividend Yield'!P50+'Capital Gain'!P50</f>
        <v>6.5623937436246019E-2</v>
      </c>
      <c r="Q50" s="7">
        <f>'Dividend Yield'!Q50+'Capital Gain'!Q50</f>
        <v>4.6068796068796068E-2</v>
      </c>
      <c r="R50" s="7">
        <f>'Dividend Yield'!R50+'Capital Gain'!R50</f>
        <v>0.18864264784779824</v>
      </c>
      <c r="S50" s="7">
        <f>'Dividend Yield'!S50+'Capital Gain'!S50</f>
        <v>1.4366956001197246E-2</v>
      </c>
      <c r="T50" s="7">
        <f>'Dividend Yield'!T50+'Capital Gain'!T50</f>
        <v>1.7721518987341846E-2</v>
      </c>
      <c r="U50" s="7">
        <f>'Dividend Yield'!U50+'Capital Gain'!U50</f>
        <v>9.5988538681948468E-2</v>
      </c>
      <c r="V50" s="7">
        <f>'Dividend Yield'!V50+'Capital Gain'!V50</f>
        <v>4.3859649122807015E-2</v>
      </c>
    </row>
    <row r="51" spans="1:22">
      <c r="A51" s="176"/>
      <c r="B51" s="14" t="s">
        <v>25</v>
      </c>
      <c r="C51" s="7">
        <f>'Dividend Yield'!C51+'Capital Gain'!C51</f>
        <v>8.1977878985035779E-2</v>
      </c>
      <c r="D51" s="7">
        <f>'Dividend Yield'!D51+'Capital Gain'!D51</f>
        <v>-6.9230769230769262E-2</v>
      </c>
      <c r="E51" s="7">
        <f>'Dividend Yield'!E51+'Capital Gain'!E51</f>
        <v>1.0582010582010732E-2</v>
      </c>
      <c r="F51" s="7">
        <f>'Dividend Yield'!F51+'Capital Gain'!F51</f>
        <v>-5.3921568627450879E-2</v>
      </c>
      <c r="G51" s="7">
        <f>'Dividend Yield'!G51+'Capital Gain'!G51</f>
        <v>0.14146341463414627</v>
      </c>
      <c r="H51" s="7">
        <f>'Dividend Yield'!H51+'Capital Gain'!H51</f>
        <v>3.1884057971014533E-2</v>
      </c>
      <c r="I51" s="7">
        <f>'Dividend Yield'!I51+'Capital Gain'!I51</f>
        <v>0.11796536796536787</v>
      </c>
      <c r="J51" s="7">
        <f>'Dividend Yield'!J51+'Capital Gain'!J51</f>
        <v>0.10952564596991891</v>
      </c>
      <c r="K51" s="7">
        <f>'Dividend Yield'!K51+'Capital Gain'!K51</f>
        <v>1.7974835230677052E-2</v>
      </c>
      <c r="L51" s="7">
        <f>'Dividend Yield'!L51+'Capital Gain'!L51</f>
        <v>0.14771048744460857</v>
      </c>
      <c r="M51" s="7">
        <f>'Dividend Yield'!M51+'Capital Gain'!M51</f>
        <v>6.2841530054644767E-2</v>
      </c>
      <c r="N51" s="7">
        <f>'Dividend Yield'!N51+'Capital Gain'!N51</f>
        <v>0.11627906976744186</v>
      </c>
      <c r="O51" s="7">
        <f>'Dividend Yield'!O51+'Capital Gain'!O51</f>
        <v>-8.3067092651757917E-3</v>
      </c>
      <c r="P51" s="7">
        <f>'Dividend Yield'!P51+'Capital Gain'!P51</f>
        <v>2.5207402680280901E-2</v>
      </c>
      <c r="Q51" s="7">
        <f>'Dividend Yield'!Q51+'Capital Gain'!Q51</f>
        <v>3.4449011548248233E-2</v>
      </c>
      <c r="R51" s="7">
        <f>'Dividend Yield'!R51+'Capital Gain'!R51</f>
        <v>1.3401847093951936E-2</v>
      </c>
      <c r="S51" s="7">
        <f>'Dividend Yield'!S51+'Capital Gain'!S51</f>
        <v>1.4871643552670431E-2</v>
      </c>
      <c r="T51" s="7">
        <f>'Dividend Yield'!T51+'Capital Gain'!T51</f>
        <v>0.13930348258706451</v>
      </c>
      <c r="U51" s="7">
        <f>'Dividend Yield'!U51+'Capital Gain'!U51</f>
        <v>7.9738562091503193E-2</v>
      </c>
      <c r="V51" s="7">
        <f>'Dividend Yield'!V51+'Capital Gain'!V51</f>
        <v>3.6764705882352342E-3</v>
      </c>
    </row>
    <row r="52" spans="1:22">
      <c r="A52" s="176"/>
      <c r="B52" s="14" t="s">
        <v>26</v>
      </c>
      <c r="C52" s="7">
        <f>'Dividend Yield'!C52+'Capital Gain'!C52</f>
        <v>-9.1551413108839394E-2</v>
      </c>
      <c r="D52" s="7">
        <f>'Dividend Yield'!D52+'Capital Gain'!D52</f>
        <v>8.2644628099173261E-3</v>
      </c>
      <c r="E52" s="7">
        <f>'Dividend Yield'!E52+'Capital Gain'!E52</f>
        <v>0.15706806282722513</v>
      </c>
      <c r="F52" s="7">
        <f>'Dividend Yield'!F52+'Capital Gain'!F52</f>
        <v>-1.2953367875647668E-2</v>
      </c>
      <c r="G52" s="7">
        <f>'Dividend Yield'!G52+'Capital Gain'!G52</f>
        <v>-5.1282051282051253E-2</v>
      </c>
      <c r="H52" s="7">
        <f>'Dividend Yield'!H52+'Capital Gain'!H52</f>
        <v>-3.3707865168539401E-2</v>
      </c>
      <c r="I52" s="7">
        <f>'Dividend Yield'!I52+'Capital Gain'!I52</f>
        <v>-6.3891577928363932E-2</v>
      </c>
      <c r="J52" s="7">
        <f>'Dividend Yield'!J52+'Capital Gain'!J52</f>
        <v>0.1007994438651373</v>
      </c>
      <c r="K52" s="7">
        <f>'Dividend Yield'!K52+'Capital Gain'!K52</f>
        <v>-8.9464390818128403E-2</v>
      </c>
      <c r="L52" s="7">
        <f>'Dividend Yield'!L52+'Capital Gain'!L52</f>
        <v>-1.8018018018018091E-2</v>
      </c>
      <c r="M52" s="7">
        <f>'Dividend Yield'!M52+'Capital Gain'!M52</f>
        <v>1.2853470437018025E-2</v>
      </c>
      <c r="N52" s="7">
        <f>'Dividend Yield'!N52+'Capital Gain'!N52</f>
        <v>-5.2884615384615342E-2</v>
      </c>
      <c r="O52" s="7">
        <f>'Dividend Yield'!O52+'Capital Gain'!O52</f>
        <v>-3.6726804123711272E-2</v>
      </c>
      <c r="P52" s="7">
        <f>'Dividend Yield'!P52+'Capital Gain'!P52</f>
        <v>-4.3572984749455333E-2</v>
      </c>
      <c r="Q52" s="7">
        <f>'Dividend Yield'!Q52+'Capital Gain'!Q52</f>
        <v>-9.1012298959318866E-2</v>
      </c>
      <c r="R52" s="7">
        <f>'Dividend Yield'!R52+'Capital Gain'!R52</f>
        <v>-2.6277922433877027E-2</v>
      </c>
      <c r="S52" s="7">
        <f>'Dividend Yield'!S52+'Capital Gain'!S52</f>
        <v>-6.8325870791417108E-3</v>
      </c>
      <c r="T52" s="7">
        <f>'Dividend Yield'!T52+'Capital Gain'!T52</f>
        <v>4.1484716157205365E-2</v>
      </c>
      <c r="U52" s="7">
        <f>'Dividend Yield'!U52+'Capital Gain'!U52</f>
        <v>-9.5641646489104018E-2</v>
      </c>
      <c r="V52" s="7">
        <f>'Dividend Yield'!V52+'Capital Gain'!V52</f>
        <v>-1.9884877027734081E-2</v>
      </c>
    </row>
    <row r="53" spans="1:22">
      <c r="A53" s="176"/>
      <c r="B53" s="14" t="s">
        <v>15</v>
      </c>
      <c r="C53" s="7">
        <f>'Dividend Yield'!C53+'Capital Gain'!C53</f>
        <v>-2.0023167301009448E-2</v>
      </c>
      <c r="D53" s="7">
        <f>'Dividend Yield'!D53+'Capital Gain'!D53</f>
        <v>-9.0163934426229483E-2</v>
      </c>
      <c r="E53" s="7">
        <f>'Dividend Yield'!E53+'Capital Gain'!E53</f>
        <v>-2.7149321266968389E-2</v>
      </c>
      <c r="F53" s="7">
        <f>'Dividend Yield'!F53+'Capital Gain'!F53</f>
        <v>-3.937007874015748E-2</v>
      </c>
      <c r="G53" s="7">
        <f>'Dividend Yield'!G53+'Capital Gain'!G53</f>
        <v>-2.4774774774774806E-2</v>
      </c>
      <c r="H53" s="7">
        <f>'Dividend Yield'!H53+'Capital Gain'!H53</f>
        <v>-7.5581395348837149E-2</v>
      </c>
      <c r="I53" s="7">
        <f>'Dividend Yield'!I53+'Capital Gain'!I53</f>
        <v>-1.3443640124095111E-2</v>
      </c>
      <c r="J53" s="7">
        <f>'Dividend Yield'!J53+'Capital Gain'!J53</f>
        <v>-2.6523523839595761E-2</v>
      </c>
      <c r="K53" s="7">
        <f>'Dividend Yield'!K53+'Capital Gain'!K53</f>
        <v>-3.9431157078215866E-2</v>
      </c>
      <c r="L53" s="7">
        <f>'Dividend Yield'!L53+'Capital Gain'!L53</f>
        <v>-7.8636959370903588E-3</v>
      </c>
      <c r="M53" s="7">
        <f>'Dividend Yield'!M53+'Capital Gain'!M53</f>
        <v>0.28925270883115534</v>
      </c>
      <c r="N53" s="7">
        <f>'Dividend Yield'!N53+'Capital Gain'!N53</f>
        <v>-6.7681895093062605E-2</v>
      </c>
      <c r="O53" s="7">
        <f>'Dividend Yield'!O53+'Capital Gain'!O53</f>
        <v>-5.2173913043478334E-2</v>
      </c>
      <c r="P53" s="7">
        <f>'Dividend Yield'!P53+'Capital Gain'!P53</f>
        <v>-2.8824375350083253E-2</v>
      </c>
      <c r="Q53" s="7">
        <f>'Dividend Yield'!Q53+'Capital Gain'!Q53</f>
        <v>-8.9925062447960016E-2</v>
      </c>
      <c r="R53" s="7">
        <f>'Dividend Yield'!R53+'Capital Gain'!R53</f>
        <v>-2.1779669962351814E-2</v>
      </c>
      <c r="S53" s="7">
        <f>'Dividend Yield'!S53+'Capital Gain'!S53</f>
        <v>3.1382651716970585E-2</v>
      </c>
      <c r="T53" s="7">
        <f>'Dividend Yield'!T53+'Capital Gain'!T53</f>
        <v>-0.11530398322851153</v>
      </c>
      <c r="U53" s="7">
        <f>'Dividend Yield'!U53+'Capital Gain'!U53</f>
        <v>-0.12182061579651952</v>
      </c>
      <c r="V53" s="7">
        <f>'Dividend Yield'!V53+'Capital Gain'!V53</f>
        <v>2.6695141484249863E-3</v>
      </c>
    </row>
    <row r="54" spans="1:22">
      <c r="A54" s="176"/>
      <c r="B54" s="14" t="s">
        <v>16</v>
      </c>
      <c r="C54" s="7">
        <f>'Dividend Yield'!C54+'Capital Gain'!C54</f>
        <v>-3.3772374197906116E-2</v>
      </c>
      <c r="D54" s="7">
        <f>'Dividend Yield'!D54+'Capital Gain'!D54</f>
        <v>4.504504504504505E-2</v>
      </c>
      <c r="E54" s="7">
        <f>'Dividend Yield'!E54+'Capital Gain'!E54</f>
        <v>-8.3720930232558166E-2</v>
      </c>
      <c r="F54" s="7">
        <f>'Dividend Yield'!F54+'Capital Gain'!F54</f>
        <v>-2.4590163934426191E-2</v>
      </c>
      <c r="G54" s="7">
        <f>'Dividend Yield'!G54+'Capital Gain'!G54</f>
        <v>-6.4665127020785154E-2</v>
      </c>
      <c r="H54" s="7">
        <f>'Dividend Yield'!H54+'Capital Gain'!H54</f>
        <v>-4.4025157232704469E-2</v>
      </c>
      <c r="I54" s="7">
        <f>'Dividend Yield'!I54+'Capital Gain'!I54</f>
        <v>-0.20198166281877772</v>
      </c>
      <c r="J54" s="7">
        <f>'Dividend Yield'!J54+'Capital Gain'!J54</f>
        <v>2.7468324567539552E-2</v>
      </c>
      <c r="K54" s="7">
        <f>'Dividend Yield'!K54+'Capital Gain'!K54</f>
        <v>-3.0525262038787301E-2</v>
      </c>
      <c r="L54" s="7">
        <f>'Dividend Yield'!L54+'Capital Gain'!L54</f>
        <v>-6.0923747831484312E-2</v>
      </c>
      <c r="M54" s="7">
        <f>'Dividend Yield'!M54+'Capital Gain'!M54</f>
        <v>-1.3464526152252691E-2</v>
      </c>
      <c r="N54" s="7">
        <f>'Dividend Yield'!N54+'Capital Gain'!N54</f>
        <v>-3.8808402309341274E-2</v>
      </c>
      <c r="O54" s="7">
        <f>'Dividend Yield'!O54+'Capital Gain'!O54</f>
        <v>-1.3761467889908178E-2</v>
      </c>
      <c r="P54" s="7">
        <f>'Dividend Yield'!P54+'Capital Gain'!P54</f>
        <v>7.1648954405210949E-2</v>
      </c>
      <c r="Q54" s="7">
        <f>'Dividend Yield'!Q54+'Capital Gain'!Q54</f>
        <v>-5.7365635936668741E-2</v>
      </c>
      <c r="R54" s="7">
        <f>'Dividend Yield'!R54+'Capital Gain'!R54</f>
        <v>-1.6185885907488672E-2</v>
      </c>
      <c r="S54" s="7">
        <f>'Dividend Yield'!S54+'Capital Gain'!S54</f>
        <v>-3.8318526297862678E-2</v>
      </c>
      <c r="T54" s="7">
        <f>'Dividend Yield'!T54+'Capital Gain'!T54</f>
        <v>7.5087078170501254E-3</v>
      </c>
      <c r="U54" s="7">
        <f>'Dividend Yield'!U54+'Capital Gain'!U54</f>
        <v>-5.8220657371318235E-2</v>
      </c>
      <c r="V54" s="7">
        <f>'Dividend Yield'!V54+'Capital Gain'!V54</f>
        <v>1.9701810436634656E-2</v>
      </c>
    </row>
    <row r="55" spans="1:22">
      <c r="A55" s="176"/>
      <c r="B55" s="14" t="s">
        <v>17</v>
      </c>
      <c r="C55" s="7">
        <f>'Dividend Yield'!C55+'Capital Gain'!C55</f>
        <v>-4.1069556099266019E-2</v>
      </c>
      <c r="D55" s="7">
        <f>'Dividend Yield'!D55+'Capital Gain'!D55</f>
        <v>5.1724137931034454E-2</v>
      </c>
      <c r="E55" s="7">
        <f>'Dividend Yield'!E55+'Capital Gain'!E55</f>
        <v>-4.0609137055837602E-2</v>
      </c>
      <c r="F55" s="7">
        <f>'Dividend Yield'!F55+'Capital Gain'!F55</f>
        <v>-3.0812324929972025E-2</v>
      </c>
      <c r="G55" s="7">
        <f>'Dividend Yield'!G55+'Capital Gain'!G55</f>
        <v>6.4197530864197563E-2</v>
      </c>
      <c r="H55" s="7">
        <f>'Dividend Yield'!H55+'Capital Gain'!H55</f>
        <v>3.2894736842105734E-3</v>
      </c>
      <c r="I55" s="7">
        <f>'Dividend Yield'!I55+'Capital Gain'!I55</f>
        <v>-4.9226441631504927E-2</v>
      </c>
      <c r="J55" s="7">
        <f>'Dividend Yield'!J55+'Capital Gain'!J55</f>
        <v>0.20577045022194052</v>
      </c>
      <c r="K55" s="7">
        <f>'Dividend Yield'!K55+'Capital Gain'!K55</f>
        <v>-2.4840312278211495E-2</v>
      </c>
      <c r="L55" s="7">
        <f>'Dividend Yield'!L55+'Capital Gain'!L55</f>
        <v>-1.656626506024109E-2</v>
      </c>
      <c r="M55" s="7">
        <f>'Dividend Yield'!M55+'Capital Gain'!M55</f>
        <v>-6.8241469816272965E-2</v>
      </c>
      <c r="N55" s="7">
        <f>'Dividend Yield'!N55+'Capital Gain'!N55</f>
        <v>-5.2023121387283155E-2</v>
      </c>
      <c r="O55" s="7">
        <f>'Dividend Yield'!O55+'Capital Gain'!O55</f>
        <v>-7.7280858676207598E-2</v>
      </c>
      <c r="P55" s="7">
        <f>'Dividend Yield'!P55+'Capital Gain'!P55</f>
        <v>4.4785668586051729E-3</v>
      </c>
      <c r="Q55" s="7">
        <f>'Dividend Yield'!Q55+'Capital Gain'!Q55</f>
        <v>-3.5450516986706003E-2</v>
      </c>
      <c r="R55" s="7">
        <f>'Dividend Yield'!R55+'Capital Gain'!R55</f>
        <v>-2.2557765428487798E-2</v>
      </c>
      <c r="S55" s="7">
        <f>'Dividend Yield'!S55+'Capital Gain'!S55</f>
        <v>1.0713969481420319E-2</v>
      </c>
      <c r="T55" s="7">
        <f>'Dividend Yield'!T55+'Capital Gain'!T55</f>
        <v>-1.2048192771084338E-2</v>
      </c>
      <c r="U55" s="7">
        <f>'Dividend Yield'!U55+'Capital Gain'!U55</f>
        <v>-4.7775947281713436E-2</v>
      </c>
      <c r="V55" s="7">
        <f>'Dividend Yield'!V55+'Capital Gain'!V55</f>
        <v>-1.6030927273943035E-2</v>
      </c>
    </row>
    <row r="56" spans="1:22">
      <c r="A56" s="167">
        <v>2026</v>
      </c>
      <c r="B56" s="16" t="s">
        <v>18</v>
      </c>
      <c r="C56" s="7">
        <f>'Dividend Yield'!C56+'Capital Gain'!C56</f>
        <v>0.17277200656096223</v>
      </c>
      <c r="D56" s="7">
        <f>'Dividend Yield'!D56+'Capital Gain'!D56</f>
        <v>4.9180327868852576E-2</v>
      </c>
      <c r="E56" s="7">
        <f>'Dividend Yield'!E56+'Capital Gain'!E56</f>
        <v>4.2328042328042367E-2</v>
      </c>
      <c r="F56" s="7">
        <f>'Dividend Yield'!F56+'Capital Gain'!F56</f>
        <v>8.3815028901734062E-2</v>
      </c>
      <c r="G56" s="7">
        <f>'Dividend Yield'!G56+'Capital Gain'!G56</f>
        <v>0.27610208816705334</v>
      </c>
      <c r="H56" s="7">
        <f>'Dividend Yield'!H56+'Capital Gain'!H56</f>
        <v>0.33770491803278679</v>
      </c>
      <c r="I56" s="7">
        <f>'Dividend Yield'!I56+'Capital Gain'!I56</f>
        <v>2.5147928994082885E-2</v>
      </c>
      <c r="J56" s="7">
        <f>'Dividend Yield'!J56+'Capital Gain'!J56</f>
        <v>0.15435182750460161</v>
      </c>
      <c r="K56" s="7">
        <f>'Dividend Yield'!K56+'Capital Gain'!K56</f>
        <v>4.9490538573507881E-2</v>
      </c>
      <c r="L56" s="7">
        <f>'Dividend Yield'!L56+'Capital Gain'!L56</f>
        <v>1.5313935681471444E-3</v>
      </c>
      <c r="M56" s="7">
        <f>'Dividend Yield'!M56+'Capital Gain'!M56</f>
        <v>2.8169014084507043E-2</v>
      </c>
      <c r="N56" s="7">
        <f>'Dividend Yield'!N56+'Capital Gain'!N56</f>
        <v>3.6585365853658479E-2</v>
      </c>
      <c r="O56" s="7">
        <f>'Dividend Yield'!O56+'Capital Gain'!O56</f>
        <v>3.8386971694455353E-2</v>
      </c>
      <c r="P56" s="7">
        <f>'Dividend Yield'!P56+'Capital Gain'!P56</f>
        <v>9.7452229299363133E-2</v>
      </c>
      <c r="Q56" s="7">
        <f>'Dividend Yield'!Q56+'Capital Gain'!Q56</f>
        <v>7.5293517100561508E-2</v>
      </c>
      <c r="R56" s="7">
        <f>'Dividend Yield'!R56+'Capital Gain'!R56</f>
        <v>4.0059846642977334E-2</v>
      </c>
      <c r="S56" s="7">
        <f>'Dividend Yield'!S56+'Capital Gain'!S56</f>
        <v>1.3374605770353851E-2</v>
      </c>
      <c r="T56" s="7">
        <f>'Dividend Yield'!T56+'Capital Gain'!T56</f>
        <v>-1.2195121951219513E-2</v>
      </c>
      <c r="U56" s="7">
        <f>'Dividend Yield'!U56+'Capital Gain'!U56</f>
        <v>7.439446366782014E-2</v>
      </c>
      <c r="V56" s="7">
        <f>'Dividend Yield'!V56+'Capital Gain'!V56</f>
        <v>9.5294818344252193E-3</v>
      </c>
    </row>
    <row r="57" spans="1:22">
      <c r="A57" s="167"/>
      <c r="B57" s="16" t="s">
        <v>19</v>
      </c>
      <c r="C57" s="7">
        <f>'Dividend Yield'!C57+'Capital Gain'!C57</f>
        <v>0.18243978243978259</v>
      </c>
      <c r="D57" s="7">
        <f>'Dividend Yield'!D57+'Capital Gain'!D57</f>
        <v>3.90625E-2</v>
      </c>
      <c r="E57" s="7">
        <f>'Dividend Yield'!E57+'Capital Gain'!E57</f>
        <v>4.0609137055837602E-2</v>
      </c>
      <c r="F57" s="7">
        <f>'Dividend Yield'!F57+'Capital Gain'!F57</f>
        <v>3.7333333333333295E-2</v>
      </c>
      <c r="G57" s="7">
        <f>'Dividend Yield'!G57+'Capital Gain'!G57</f>
        <v>-3.0909090909090962E-2</v>
      </c>
      <c r="H57" s="7">
        <f>'Dividend Yield'!H57+'Capital Gain'!H57</f>
        <v>-5.6372549019607775E-2</v>
      </c>
      <c r="I57" s="7">
        <f>'Dividend Yield'!I57+'Capital Gain'!I57</f>
        <v>1.0101010101010142E-2</v>
      </c>
      <c r="J57" s="7">
        <f>'Dividend Yield'!J57+'Capital Gain'!J57</f>
        <v>7.2665148063781271E-2</v>
      </c>
      <c r="K57" s="7">
        <f>'Dividend Yield'!K57+'Capital Gain'!K57</f>
        <v>9.4313453536754674E-2</v>
      </c>
      <c r="L57" s="7">
        <f>'Dividend Yield'!L57+'Capital Gain'!L57</f>
        <v>5.657492354740043E-2</v>
      </c>
      <c r="M57" s="7">
        <f>'Dividend Yield'!M57+'Capital Gain'!M57</f>
        <v>5.0410958904109529E-2</v>
      </c>
      <c r="N57" s="7">
        <f>'Dividend Yield'!N57+'Capital Gain'!N57</f>
        <v>0.36862745098039212</v>
      </c>
      <c r="O57" s="7">
        <f>'Dividend Yield'!O57+'Capital Gain'!O57</f>
        <v>-2.1284540702016387E-2</v>
      </c>
      <c r="P57" s="7">
        <f>'Dividend Yield'!P57+'Capital Gain'!P57</f>
        <v>-4.2658154381892181E-2</v>
      </c>
      <c r="Q57" s="7">
        <f>'Dividend Yield'!Q57+'Capital Gain'!Q57</f>
        <v>7.7616900071208139E-2</v>
      </c>
      <c r="R57" s="7">
        <f>'Dividend Yield'!R57+'Capital Gain'!R57</f>
        <v>3.4704739984176079E-2</v>
      </c>
      <c r="S57" s="7">
        <f>'Dividend Yield'!S57+'Capital Gain'!S57</f>
        <v>2.633853956544294E-2</v>
      </c>
      <c r="T57" s="7">
        <f>'Dividend Yield'!T57+'Capital Gain'!T57</f>
        <v>4.6913580246913548E-2</v>
      </c>
      <c r="U57" s="7">
        <f>'Dividend Yield'!U57+'Capital Gain'!U57</f>
        <v>4.3478260869565147E-2</v>
      </c>
      <c r="V57" s="7">
        <f>'Dividend Yield'!V57+'Capital Gain'!V57</f>
        <v>4.4247787610619468E-2</v>
      </c>
    </row>
    <row r="58" spans="1:22">
      <c r="A58" s="167"/>
      <c r="B58" s="16" t="s">
        <v>20</v>
      </c>
      <c r="C58" s="7">
        <f>'Dividend Yield'!C58+'Capital Gain'!C58</f>
        <v>-0.23432776974635305</v>
      </c>
      <c r="D58" s="7">
        <f>'Dividend Yield'!D58+'Capital Gain'!D58</f>
        <v>-3.7593984962406013E-2</v>
      </c>
      <c r="E58" s="7">
        <f>'Dividend Yield'!E58+'Capital Gain'!E58</f>
        <v>-8.7804878048780524E-2</v>
      </c>
      <c r="F58" s="7">
        <f>'Dividend Yield'!F58+'Capital Gain'!F58</f>
        <v>-6.4267352185089971E-2</v>
      </c>
      <c r="G58" s="7">
        <f>'Dividend Yield'!G58+'Capital Gain'!G58</f>
        <v>-1.8761726078799251E-2</v>
      </c>
      <c r="H58" s="7">
        <f>'Dividend Yield'!H58+'Capital Gain'!H58</f>
        <v>-3.6363636363636327E-2</v>
      </c>
      <c r="I58" s="7">
        <f>'Dividend Yield'!I58+'Capital Gain'!I58</f>
        <v>-1.857142857142853E-2</v>
      </c>
      <c r="J58" s="7">
        <f>'Dividend Yield'!J58+'Capital Gain'!J58</f>
        <v>2.9093225737948706E-2</v>
      </c>
      <c r="K58" s="7">
        <f>'Dividend Yield'!K58+'Capital Gain'!K58</f>
        <v>-6.7807351077313158E-2</v>
      </c>
      <c r="L58" s="7">
        <f>'Dividend Yield'!L58+'Capital Gain'!L58</f>
        <v>-6.9464544138929052E-2</v>
      </c>
      <c r="M58" s="7">
        <f>'Dividend Yield'!M58+'Capital Gain'!M58</f>
        <v>-4.0166927490871099E-2</v>
      </c>
      <c r="N58" s="7">
        <f>'Dividend Yield'!N58+'Capital Gain'!N58</f>
        <v>-0.13610315186246419</v>
      </c>
      <c r="O58" s="7">
        <f>'Dividend Yield'!O58+'Capital Gain'!O58</f>
        <v>1.90571424997341E-2</v>
      </c>
      <c r="P58" s="7">
        <f>'Dividend Yield'!P58+'Capital Gain'!P58</f>
        <v>-4.2740224310396986E-2</v>
      </c>
      <c r="Q58" s="7">
        <f>'Dividend Yield'!Q58+'Capital Gain'!Q58</f>
        <v>-6.7841409691629981E-2</v>
      </c>
      <c r="R58" s="7">
        <f>'Dividend Yield'!R58+'Capital Gain'!R58</f>
        <v>-5.0502241840742319E-2</v>
      </c>
      <c r="S58" s="7">
        <f>'Dividend Yield'!S58+'Capital Gain'!S58</f>
        <v>-2.4539532794249801E-2</v>
      </c>
      <c r="T58" s="7">
        <f>'Dividend Yield'!T58+'Capital Gain'!T58</f>
        <v>-6.8396226415094311E-2</v>
      </c>
      <c r="U58" s="7">
        <f>'Dividend Yield'!U58+'Capital Gain'!U58</f>
        <v>-0.1080246913580247</v>
      </c>
      <c r="V58" s="7">
        <f>'Dividend Yield'!V58+'Capital Gain'!V58</f>
        <v>-3.3333333333333368E-2</v>
      </c>
    </row>
    <row r="59" spans="1:22">
      <c r="A59" s="167"/>
      <c r="B59" s="16" t="s">
        <v>21</v>
      </c>
      <c r="C59" s="7">
        <f>'Dividend Yield'!C59+'Capital Gain'!C59</f>
        <v>9.2516306213525593E-2</v>
      </c>
      <c r="D59" s="7">
        <f>'Dividend Yield'!D59+'Capital Gain'!D59</f>
        <v>0.32031249999999983</v>
      </c>
      <c r="E59" s="7">
        <f>'Dividend Yield'!E59+'Capital Gain'!E59</f>
        <v>5.3475935828877766E-3</v>
      </c>
      <c r="F59" s="7">
        <f>'Dividend Yield'!F59+'Capital Gain'!F59</f>
        <v>4.670329670329678E-2</v>
      </c>
      <c r="G59" s="7">
        <f>'Dividend Yield'!G59+'Capital Gain'!G59</f>
        <v>3.4128758826558435E-2</v>
      </c>
      <c r="H59" s="7">
        <f>'Dividend Yield'!H59+'Capital Gain'!H59</f>
        <v>1.8867924528301772E-2</v>
      </c>
      <c r="I59" s="7">
        <f>'Dividend Yield'!I59+'Capital Gain'!I59</f>
        <v>0.23289665211062591</v>
      </c>
      <c r="J59" s="7">
        <f>'Dividend Yield'!J59+'Capital Gain'!J59</f>
        <v>9.5542715641766307E-2</v>
      </c>
      <c r="K59" s="7">
        <f>'Dividend Yield'!K59+'Capital Gain'!K59</f>
        <v>-3.3990482664853841E-2</v>
      </c>
      <c r="L59" s="7">
        <f>'Dividend Yield'!L59+'Capital Gain'!L59</f>
        <v>9.4867807153965922E-2</v>
      </c>
      <c r="M59" s="7">
        <f>'Dividend Yield'!M59+'Capital Gain'!M59</f>
        <v>5.434782608695652E-2</v>
      </c>
      <c r="N59" s="7">
        <f>'Dividend Yield'!N59+'Capital Gain'!N59</f>
        <v>6.3018242122719684E-2</v>
      </c>
      <c r="O59" s="7">
        <f>'Dividend Yield'!O59+'Capital Gain'!O59</f>
        <v>-4.0983606557377051E-3</v>
      </c>
      <c r="P59" s="7">
        <f>'Dividend Yield'!P59+'Capital Gain'!P59</f>
        <v>-1.8366054464851206E-2</v>
      </c>
      <c r="Q59" s="7">
        <f>'Dividend Yield'!Q59+'Capital Gain'!Q59</f>
        <v>-1.6304347826086904E-2</v>
      </c>
      <c r="R59" s="7">
        <f>'Dividend Yield'!R59+'Capital Gain'!R59</f>
        <v>1.3507577421480208E-2</v>
      </c>
      <c r="S59" s="7">
        <f>'Dividend Yield'!S59+'Capital Gain'!S59</f>
        <v>-1.0937769846294766E-3</v>
      </c>
      <c r="T59" s="7">
        <f>'Dividend Yield'!T59+'Capital Gain'!T59</f>
        <v>0.16202531645569618</v>
      </c>
      <c r="U59" s="7">
        <f>'Dividend Yield'!U59+'Capital Gain'!U59</f>
        <v>4.1522491349481071E-2</v>
      </c>
      <c r="V59" s="7">
        <f>'Dividend Yield'!V59+'Capital Gain'!V59</f>
        <v>-9.3512565751022458E-3</v>
      </c>
    </row>
    <row r="60" spans="1:22">
      <c r="A60" s="167"/>
      <c r="B60" s="16" t="s">
        <v>22</v>
      </c>
      <c r="C60" s="7">
        <f>'Dividend Yield'!C60+'Capital Gain'!C60</f>
        <v>0.23823484439069995</v>
      </c>
      <c r="D60" s="7">
        <f>'Dividend Yield'!D60+'Capital Gain'!D60</f>
        <v>1.4899894625922075E-2</v>
      </c>
      <c r="E60" s="7">
        <f>'Dividend Yield'!E60+'Capital Gain'!E60</f>
        <v>5.319148936170099E-3</v>
      </c>
      <c r="F60" s="7">
        <f>'Dividend Yield'!F60+'Capital Gain'!F60</f>
        <v>-2.09973753280841E-2</v>
      </c>
      <c r="G60" s="7">
        <f>'Dividend Yield'!G60+'Capital Gain'!G60</f>
        <v>-4.1431261770244872E-2</v>
      </c>
      <c r="H60" s="7">
        <f>'Dividend Yield'!H60+'Capital Gain'!H60</f>
        <v>0.14444444444444454</v>
      </c>
      <c r="I60" s="7">
        <f>'Dividend Yield'!I60+'Capital Gain'!I60</f>
        <v>-0.10743801652892572</v>
      </c>
      <c r="J60" s="7">
        <f>'Dividend Yield'!J60+'Capital Gain'!J60</f>
        <v>8.6833678658881197E-2</v>
      </c>
      <c r="K60" s="7">
        <f>'Dividend Yield'!K60+'Capital Gain'!K60</f>
        <v>6.3335679099226303E-3</v>
      </c>
      <c r="L60" s="7">
        <f>'Dividend Yield'!L60+'Capital Gain'!L60</f>
        <v>2.5568181818181775E-2</v>
      </c>
      <c r="M60" s="7">
        <f>'Dividend Yield'!M60+'Capital Gain'!M60</f>
        <v>3.6597938144329871E-2</v>
      </c>
      <c r="N60" s="7">
        <f>'Dividend Yield'!N60+'Capital Gain'!N60</f>
        <v>-3.120124804992189E-2</v>
      </c>
      <c r="O60" s="7">
        <f>'Dividend Yield'!O60+'Capital Gain'!O60</f>
        <v>-8.23045267489712E-3</v>
      </c>
      <c r="P60" s="7">
        <f>'Dividend Yield'!P60+'Capital Gain'!P60</f>
        <v>1.7741935483870968E-2</v>
      </c>
      <c r="Q60" s="7">
        <f>'Dividend Yield'!Q60+'Capital Gain'!Q60</f>
        <v>-5.5248618784530662E-3</v>
      </c>
      <c r="R60" s="7">
        <f>'Dividend Yield'!R60+'Capital Gain'!R60</f>
        <v>-3.1783869686133302E-3</v>
      </c>
      <c r="S60" s="7">
        <f>'Dividend Yield'!S60+'Capital Gain'!S60</f>
        <v>-5.4287690179806385E-2</v>
      </c>
      <c r="T60" s="7">
        <f>'Dividend Yield'!T60+'Capital Gain'!T60</f>
        <v>8.0610021786492445E-2</v>
      </c>
      <c r="U60" s="7">
        <f>'Dividend Yield'!U60+'Capital Gain'!U60</f>
        <v>2.65780730897009E-2</v>
      </c>
      <c r="V60" s="7">
        <f>'Dividend Yield'!V60+'Capital Gain'!V60</f>
        <v>-5.8997050147492625E-3</v>
      </c>
    </row>
    <row r="61" spans="1:22">
      <c r="A61" s="167"/>
      <c r="B61" s="16" t="s">
        <v>23</v>
      </c>
      <c r="C61" s="7">
        <f>'Dividend Yield'!C61+'Capital Gain'!C61</f>
        <v>-2.67459138187221E-2</v>
      </c>
      <c r="D61" s="7">
        <f>'Dividend Yield'!D61+'Capital Gain'!D61</f>
        <v>9.5890410958904132E-2</v>
      </c>
      <c r="E61" s="7">
        <f>'Dividend Yield'!E61+'Capital Gain'!E61</f>
        <v>0.84297534616683578</v>
      </c>
      <c r="F61" s="7">
        <f>'Dividend Yield'!F61+'Capital Gain'!F61</f>
        <v>0.13578107630942268</v>
      </c>
      <c r="G61" s="7">
        <f>'Dividend Yield'!G61+'Capital Gain'!G61</f>
        <v>0.26326129666011788</v>
      </c>
      <c r="H61" s="7">
        <f>'Dividend Yield'!H61+'Capital Gain'!H61</f>
        <v>8.0952380952380915E-2</v>
      </c>
      <c r="I61" s="7">
        <f>'Dividend Yield'!I61+'Capital Gain'!I61</f>
        <v>-6.216931216931202E-2</v>
      </c>
      <c r="J61" s="7">
        <f>'Dividend Yield'!J61+'Capital Gain'!J61</f>
        <v>-0.10935875216637786</v>
      </c>
      <c r="K61" s="7">
        <f>'Dividend Yield'!K61+'Capital Gain'!K61</f>
        <v>8.3916083916083919E-2</v>
      </c>
      <c r="L61" s="7">
        <f>'Dividend Yield'!L61+'Capital Gain'!L61</f>
        <v>1.2465373961218718E-2</v>
      </c>
      <c r="M61" s="7">
        <f>'Dividend Yield'!M61+'Capital Gain'!M61</f>
        <v>2.2376926902038786E-2</v>
      </c>
      <c r="N61" s="7">
        <f>'Dividend Yield'!N61+'Capital Gain'!N61</f>
        <v>9.1787439613526506E-2</v>
      </c>
      <c r="O61" s="7">
        <f>'Dividend Yield'!O61+'Capital Gain'!O61</f>
        <v>7.7178423236514623E-2</v>
      </c>
      <c r="P61" s="7">
        <f>'Dividend Yield'!P61+'Capital Gain'!P61</f>
        <v>1.2995245641838423E-2</v>
      </c>
      <c r="Q61" s="7">
        <f>'Dividend Yield'!Q61+'Capital Gain'!Q61</f>
        <v>0.10144927536231885</v>
      </c>
      <c r="R61" s="7">
        <f>'Dividend Yield'!R61+'Capital Gain'!R61</f>
        <v>7.8971660713432396E-2</v>
      </c>
      <c r="S61" s="7">
        <f>'Dividend Yield'!S61+'Capital Gain'!S61</f>
        <v>7.7916666033624404E-2</v>
      </c>
      <c r="T61" s="7">
        <f>'Dividend Yield'!T61+'Capital Gain'!T61</f>
        <v>7.2580645161290355E-2</v>
      </c>
      <c r="U61" s="7">
        <f>'Dividend Yield'!U61+'Capital Gain'!U61</f>
        <v>0.10841423948220069</v>
      </c>
      <c r="V61" s="7">
        <f>'Dividend Yield'!V61+'Capital Gain'!V61</f>
        <v>0.10682492581602374</v>
      </c>
    </row>
    <row r="62" spans="1:22">
      <c r="A62" s="167"/>
      <c r="B62" s="16" t="s">
        <v>24</v>
      </c>
      <c r="C62" s="7">
        <f>'Dividend Yield'!C62+'Capital Gain'!C62</f>
        <v>-3.3587786259542028E-2</v>
      </c>
      <c r="D62" s="7">
        <f>'Dividend Yield'!D62+'Capital Gain'!D62</f>
        <v>-3.7499999999999978E-2</v>
      </c>
      <c r="E62" s="7">
        <f>'Dividend Yield'!E62+'Capital Gain'!E62</f>
        <v>-2.1276595744680722E-2</v>
      </c>
      <c r="F62" s="7">
        <f>'Dividend Yield'!F62+'Capital Gain'!F62</f>
        <v>7.3170731707317069E-2</v>
      </c>
      <c r="G62" s="7">
        <f>'Dividend Yield'!G62+'Capital Gain'!G62</f>
        <v>-2.0217729393468074E-2</v>
      </c>
      <c r="H62" s="7">
        <f>'Dividend Yield'!H62+'Capital Gain'!H62</f>
        <v>6.1674008810572785E-2</v>
      </c>
      <c r="I62" s="7">
        <f>'Dividend Yield'!I62+'Capital Gain'!I62</f>
        <v>-1.9746121297602334E-2</v>
      </c>
      <c r="J62" s="7">
        <f>'Dividend Yield'!J62+'Capital Gain'!J62</f>
        <v>-6.1685152753453959E-2</v>
      </c>
      <c r="K62" s="7">
        <f>'Dividend Yield'!K62+'Capital Gain'!K62</f>
        <v>-5.1612903225807189E-3</v>
      </c>
      <c r="L62" s="7">
        <f>'Dividend Yield'!L62+'Capital Gain'!L62</f>
        <v>1.3679890560875515E-2</v>
      </c>
      <c r="M62" s="7">
        <f>'Dividend Yield'!M62+'Capital Gain'!M62</f>
        <v>5.8852140077820983E-2</v>
      </c>
      <c r="N62" s="7">
        <f>'Dividend Yield'!N62+'Capital Gain'!N62</f>
        <v>1.0324483775811251E-2</v>
      </c>
      <c r="O62" s="7">
        <f>'Dividend Yield'!O62+'Capital Gain'!O62</f>
        <v>7.7041602465326891E-4</v>
      </c>
      <c r="P62" s="7">
        <f>'Dividend Yield'!P62+'Capital Gain'!P62</f>
        <v>9.3867334167695399E-4</v>
      </c>
      <c r="Q62" s="7">
        <f>'Dividend Yield'!Q62+'Capital Gain'!Q62</f>
        <v>3.1140350877192958E-2</v>
      </c>
      <c r="R62" s="7">
        <f>'Dividend Yield'!R62+'Capital Gain'!R62</f>
        <v>-1.7934468822170837E-2</v>
      </c>
      <c r="S62" s="7">
        <f>'Dividend Yield'!S62+'Capital Gain'!S62</f>
        <v>-1.5938501721476855E-2</v>
      </c>
      <c r="T62" s="7">
        <f>'Dividend Yield'!T62+'Capital Gain'!T62</f>
        <v>-5.0751879699248173E-2</v>
      </c>
      <c r="U62" s="7">
        <f>'Dividend Yield'!U62+'Capital Gain'!U62</f>
        <v>-1.8978102189780979E-2</v>
      </c>
      <c r="V62" s="7">
        <f>'Dividend Yield'!V62+'Capital Gain'!V62</f>
        <v>-2.198391420911525E-2</v>
      </c>
    </row>
    <row r="63" spans="1:22">
      <c r="A63" s="167"/>
      <c r="B63" s="16" t="s">
        <v>25</v>
      </c>
      <c r="C63" s="7">
        <f>'Dividend Yield'!C63+'Capital Gain'!C63</f>
        <v>-1.7377567140600226E-2</v>
      </c>
      <c r="D63" s="7">
        <f>'Dividend Yield'!D63+'Capital Gain'!D63</f>
        <v>-2.5974025974025997E-2</v>
      </c>
      <c r="E63" s="7">
        <f>'Dividend Yield'!E63+'Capital Gain'!E63</f>
        <v>-3.7267080745341699E-2</v>
      </c>
      <c r="F63" s="7">
        <f>'Dividend Yield'!F63+'Capital Gain'!F63</f>
        <v>-7.2727272727272793E-2</v>
      </c>
      <c r="G63" s="7">
        <f>'Dividend Yield'!G63+'Capital Gain'!G63</f>
        <v>-6.9841269841269815E-2</v>
      </c>
      <c r="H63" s="7">
        <f>'Dividend Yield'!H63+'Capital Gain'!H63</f>
        <v>-2.0746887966804978E-2</v>
      </c>
      <c r="I63" s="7">
        <f>'Dividend Yield'!I63+'Capital Gain'!I63</f>
        <v>-0.2446043165467626</v>
      </c>
      <c r="J63" s="7">
        <f>'Dividend Yield'!J63+'Capital Gain'!J63</f>
        <v>-2.073828287017835E-2</v>
      </c>
      <c r="K63" s="7">
        <f>'Dividend Yield'!K63+'Capital Gain'!K63</f>
        <v>-5.7717250324254073E-2</v>
      </c>
      <c r="L63" s="7">
        <f>'Dividend Yield'!L63+'Capital Gain'!L63</f>
        <v>-7.1524966261808334E-2</v>
      </c>
      <c r="M63" s="7">
        <f>'Dividend Yield'!M63+'Capital Gain'!M63</f>
        <v>-5.9715204409738175E-2</v>
      </c>
      <c r="N63" s="7">
        <f>'Dividend Yield'!N63+'Capital Gain'!N63</f>
        <v>-7.445255474452557E-2</v>
      </c>
      <c r="O63" s="7">
        <f>'Dividend Yield'!O63+'Capital Gain'!O63</f>
        <v>-6.658968437259434E-2</v>
      </c>
      <c r="P63" s="7">
        <f>'Dividend Yield'!P63+'Capital Gain'!P63</f>
        <v>-2.1256642700843872E-2</v>
      </c>
      <c r="Q63" s="7">
        <f>'Dividend Yield'!Q63+'Capital Gain'!Q63</f>
        <v>-2.1692896639727753E-2</v>
      </c>
      <c r="R63" s="7">
        <f>'Dividend Yield'!R63+'Capital Gain'!R63</f>
        <v>-8.1940106558883643E-3</v>
      </c>
      <c r="S63" s="7">
        <f>'Dividend Yield'!S63+'Capital Gain'!S63</f>
        <v>-9.108731714673449E-3</v>
      </c>
      <c r="T63" s="7">
        <f>'Dividend Yield'!T63+'Capital Gain'!T63</f>
        <v>-9.3069306930693124E-2</v>
      </c>
      <c r="U63" s="7">
        <f>'Dividend Yield'!U63+'Capital Gain'!U63</f>
        <v>-9.9702380952380987E-2</v>
      </c>
      <c r="V63" s="7">
        <f>'Dividend Yield'!V63+'Capital Gain'!V63</f>
        <v>-3.5087719298245647E-2</v>
      </c>
    </row>
    <row r="67" spans="1:27">
      <c r="A67" s="170" t="s">
        <v>38</v>
      </c>
      <c r="B67" s="171"/>
      <c r="C67" s="39">
        <f>AVERAGE(C4:C63)</f>
        <v>2.7526427991102449E-2</v>
      </c>
      <c r="D67" s="39">
        <f t="shared" ref="D67:G67" si="0">AVERAGE(D4:D63)</f>
        <v>1.2711610928648181E-2</v>
      </c>
      <c r="E67" s="39">
        <f t="shared" si="0"/>
        <v>1.2891114232266434E-2</v>
      </c>
      <c r="F67" s="39">
        <f t="shared" si="0"/>
        <v>-2.179111334745608E-3</v>
      </c>
      <c r="G67" s="39">
        <f t="shared" si="0"/>
        <v>3.2061137995684033E-3</v>
      </c>
      <c r="H67" s="39">
        <f t="shared" ref="H67:O67" si="1">AVERAGE(H4:H63)</f>
        <v>1.6590918261279002E-5</v>
      </c>
      <c r="I67" s="39">
        <f t="shared" si="1"/>
        <v>1.9922484551896161E-2</v>
      </c>
      <c r="J67" s="39">
        <f t="shared" si="1"/>
        <v>4.1872316759451703E-2</v>
      </c>
      <c r="K67" s="39">
        <f t="shared" si="1"/>
        <v>4.3521431989681182E-3</v>
      </c>
      <c r="L67" s="39">
        <f t="shared" si="1"/>
        <v>-4.6500704701170738E-3</v>
      </c>
      <c r="M67" s="39">
        <f t="shared" si="1"/>
        <v>2.1240527279640105E-2</v>
      </c>
      <c r="N67" s="39">
        <f t="shared" si="1"/>
        <v>-5.5687618909142271E-3</v>
      </c>
      <c r="O67" s="39">
        <f t="shared" si="1"/>
        <v>1.5390253792169598E-3</v>
      </c>
      <c r="P67" s="39">
        <f t="shared" ref="P67:V67" si="2">AVERAGE(P4:P63)</f>
        <v>6.5731311023136561E-3</v>
      </c>
      <c r="Q67" s="39">
        <f t="shared" si="2"/>
        <v>-9.7273706758208411E-3</v>
      </c>
      <c r="R67" s="39">
        <f t="shared" si="2"/>
        <v>8.6712521554110425E-3</v>
      </c>
      <c r="S67" s="39">
        <f t="shared" si="2"/>
        <v>-6.6877443737811627E-4</v>
      </c>
      <c r="T67" s="39">
        <f t="shared" si="2"/>
        <v>4.4608487957046028E-3</v>
      </c>
      <c r="U67" s="39">
        <f t="shared" si="2"/>
        <v>8.659258405648896E-3</v>
      </c>
      <c r="V67" s="40">
        <f t="shared" si="2"/>
        <v>7.0493825171110682E-3</v>
      </c>
    </row>
    <row r="68" spans="1:27">
      <c r="A68" s="172" t="s">
        <v>39</v>
      </c>
      <c r="B68" s="173"/>
      <c r="C68" s="41">
        <f>_xlfn.STDEV.P(C4:C63)</f>
        <v>0.10679754758348431</v>
      </c>
      <c r="D68" s="41">
        <f t="shared" ref="D68:G68" si="3">_xlfn.STDEV.P(D4:D63)</f>
        <v>7.4627753733494437E-2</v>
      </c>
      <c r="E68" s="41">
        <f t="shared" si="3"/>
        <v>0.16139213651397805</v>
      </c>
      <c r="F68" s="41">
        <f t="shared" si="3"/>
        <v>7.7670277022897333E-2</v>
      </c>
      <c r="G68" s="41">
        <f t="shared" si="3"/>
        <v>0.14470115738127753</v>
      </c>
      <c r="H68" s="41">
        <f t="shared" ref="H68:O68" si="4">_xlfn.STDEV.P(H4:H63)</f>
        <v>9.5600288739592573E-2</v>
      </c>
      <c r="I68" s="41">
        <f t="shared" si="4"/>
        <v>0.12206656423495454</v>
      </c>
      <c r="J68" s="41">
        <f t="shared" si="4"/>
        <v>0.11016219139386359</v>
      </c>
      <c r="K68" s="41">
        <f t="shared" si="4"/>
        <v>0.11047281083998932</v>
      </c>
      <c r="L68" s="41">
        <f t="shared" si="4"/>
        <v>7.9480422811543702E-2</v>
      </c>
      <c r="M68" s="41">
        <f t="shared" si="4"/>
        <v>8.1306558397938947E-2</v>
      </c>
      <c r="N68" s="41">
        <f t="shared" si="4"/>
        <v>9.9982818006083843E-2</v>
      </c>
      <c r="O68" s="41">
        <f t="shared" si="4"/>
        <v>6.4838459279777952E-2</v>
      </c>
      <c r="P68" s="41">
        <f t="shared" ref="P68:V68" si="5">_xlfn.STDEV.P(P4:P63)</f>
        <v>5.7494799833389225E-2</v>
      </c>
      <c r="Q68" s="41">
        <f t="shared" si="5"/>
        <v>6.9761638942499024E-2</v>
      </c>
      <c r="R68" s="41">
        <f t="shared" si="5"/>
        <v>4.2110925885160612E-2</v>
      </c>
      <c r="S68" s="41">
        <f t="shared" si="5"/>
        <v>4.490772174476175E-2</v>
      </c>
      <c r="T68" s="41">
        <f t="shared" si="5"/>
        <v>0.1113231418059535</v>
      </c>
      <c r="U68" s="41">
        <f t="shared" si="5"/>
        <v>0.13008867255435042</v>
      </c>
      <c r="V68" s="42">
        <f t="shared" si="5"/>
        <v>3.3520465511003031E-2</v>
      </c>
    </row>
    <row r="69" spans="1:27">
      <c r="A69" s="174" t="s">
        <v>40</v>
      </c>
      <c r="B69" s="175"/>
      <c r="C69" s="43">
        <f>_xlfn.VAR.P(C4:C63)</f>
        <v>1.1405716169846595E-2</v>
      </c>
      <c r="D69" s="43">
        <f t="shared" ref="D69:G69" si="6">_xlfn.VAR.P(D4:D63)</f>
        <v>5.5693016273070939E-3</v>
      </c>
      <c r="E69" s="43">
        <f t="shared" si="6"/>
        <v>2.6047421728546526E-2</v>
      </c>
      <c r="F69" s="43">
        <f t="shared" si="6"/>
        <v>6.0326719328136144E-3</v>
      </c>
      <c r="G69" s="43">
        <f t="shared" si="6"/>
        <v>2.0938424947481247E-2</v>
      </c>
      <c r="H69" s="43">
        <f t="shared" ref="H69:O69" si="7">_xlfn.VAR.P(H4:H63)</f>
        <v>9.1394152070934705E-3</v>
      </c>
      <c r="I69" s="43">
        <f t="shared" si="7"/>
        <v>1.4900246104126283E-2</v>
      </c>
      <c r="J69" s="43">
        <f t="shared" si="7"/>
        <v>1.2135708412698232E-2</v>
      </c>
      <c r="K69" s="43">
        <f t="shared" si="7"/>
        <v>1.220424193488806E-2</v>
      </c>
      <c r="L69" s="43">
        <f t="shared" si="7"/>
        <v>6.3171376103017558E-3</v>
      </c>
      <c r="M69" s="43">
        <f t="shared" si="7"/>
        <v>6.6107564385174565E-3</v>
      </c>
      <c r="N69" s="43">
        <f t="shared" si="7"/>
        <v>9.9965638964376845E-3</v>
      </c>
      <c r="O69" s="43">
        <f t="shared" si="7"/>
        <v>4.2040258017754231E-3</v>
      </c>
      <c r="P69" s="43">
        <f t="shared" ref="P69:V69" si="8">_xlfn.VAR.P(P4:P63)</f>
        <v>3.3056520078814937E-3</v>
      </c>
      <c r="Q69" s="43">
        <f t="shared" si="8"/>
        <v>4.8666862679435964E-3</v>
      </c>
      <c r="R69" s="43">
        <f t="shared" si="8"/>
        <v>1.7733300789054903E-3</v>
      </c>
      <c r="S69" s="43">
        <f t="shared" si="8"/>
        <v>2.0167034723049472E-3</v>
      </c>
      <c r="T69" s="43">
        <f t="shared" si="8"/>
        <v>1.2392841901548431E-2</v>
      </c>
      <c r="U69" s="43">
        <f t="shared" si="8"/>
        <v>1.6923062726953004E-2</v>
      </c>
      <c r="V69" s="44">
        <f t="shared" si="8"/>
        <v>1.1236216080743437E-3</v>
      </c>
    </row>
    <row r="77" spans="1:27"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102" spans="7:7">
      <c r="G102" s="38"/>
    </row>
    <row r="103" spans="7:7">
      <c r="G103" s="38"/>
    </row>
    <row r="104" spans="7:7">
      <c r="G104" s="38"/>
    </row>
    <row r="105" spans="7:7">
      <c r="G105" s="38"/>
    </row>
    <row r="106" spans="7:7">
      <c r="G106" s="38"/>
    </row>
    <row r="107" spans="7:7">
      <c r="G107" s="38"/>
    </row>
    <row r="108" spans="7:7">
      <c r="G108" s="38"/>
    </row>
    <row r="109" spans="7:7">
      <c r="G109" s="38"/>
    </row>
    <row r="110" spans="7:7">
      <c r="G110" s="38"/>
    </row>
    <row r="111" spans="7:7">
      <c r="G111" s="38"/>
    </row>
    <row r="112" spans="7:7">
      <c r="G112" s="38"/>
    </row>
    <row r="113" spans="7:7">
      <c r="G113" s="38"/>
    </row>
    <row r="114" spans="7:7">
      <c r="G114" s="38"/>
    </row>
    <row r="115" spans="7:7">
      <c r="G115" s="38"/>
    </row>
    <row r="116" spans="7:7">
      <c r="G116" s="38"/>
    </row>
    <row r="117" spans="7:7">
      <c r="G117" s="38"/>
    </row>
    <row r="118" spans="7:7">
      <c r="G118" s="38"/>
    </row>
    <row r="119" spans="7:7">
      <c r="G119" s="38"/>
    </row>
    <row r="120" spans="7:7">
      <c r="G120" s="38"/>
    </row>
    <row r="121" spans="7:7">
      <c r="G121" s="38"/>
    </row>
  </sheetData>
  <mergeCells count="14">
    <mergeCell ref="I1:K1"/>
    <mergeCell ref="P1:S1"/>
    <mergeCell ref="A56:A63"/>
    <mergeCell ref="A3:A7"/>
    <mergeCell ref="A8:A19"/>
    <mergeCell ref="A20:A31"/>
    <mergeCell ref="A32:A43"/>
    <mergeCell ref="A44:A55"/>
    <mergeCell ref="A67:B67"/>
    <mergeCell ref="A68:B68"/>
    <mergeCell ref="A69:B69"/>
    <mergeCell ref="C1:D1"/>
    <mergeCell ref="G1:H1"/>
    <mergeCell ref="E1:F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2142-06AB-4AF1-8C80-9D25575AAA83}">
  <dimension ref="A1:U21"/>
  <sheetViews>
    <sheetView zoomScale="72" zoomScaleNormal="100" workbookViewId="0">
      <selection activeCell="A19" sqref="A19"/>
    </sheetView>
  </sheetViews>
  <sheetFormatPr defaultColWidth="8.81640625" defaultRowHeight="14.5"/>
  <cols>
    <col min="1" max="1" width="19.1796875" bestFit="1" customWidth="1"/>
    <col min="2" max="2" width="9.90625" bestFit="1" customWidth="1"/>
    <col min="3" max="5" width="7.1796875" bestFit="1" customWidth="1"/>
    <col min="6" max="6" width="12.453125" bestFit="1" customWidth="1"/>
    <col min="7" max="7" width="10.7265625" bestFit="1" customWidth="1"/>
    <col min="8" max="8" width="8.1796875" bestFit="1" customWidth="1"/>
    <col min="9" max="9" width="10.36328125" bestFit="1" customWidth="1"/>
    <col min="10" max="10" width="8.453125" bestFit="1" customWidth="1"/>
    <col min="11" max="11" width="10.90625" bestFit="1" customWidth="1"/>
    <col min="12" max="12" width="9.81640625" bestFit="1" customWidth="1"/>
    <col min="13" max="13" width="11.08984375" bestFit="1" customWidth="1"/>
    <col min="14" max="14" width="7.1796875" bestFit="1" customWidth="1"/>
    <col min="15" max="15" width="7.6328125" bestFit="1" customWidth="1"/>
    <col min="16" max="16" width="7.54296875" bestFit="1" customWidth="1"/>
    <col min="17" max="17" width="7.81640625" bestFit="1" customWidth="1"/>
    <col min="18" max="18" width="11.453125" bestFit="1" customWidth="1"/>
    <col min="19" max="19" width="8.36328125" bestFit="1" customWidth="1"/>
    <col min="20" max="20" width="7.36328125" bestFit="1" customWidth="1"/>
    <col min="21" max="21" width="10.81640625" bestFit="1" customWidth="1"/>
  </cols>
  <sheetData>
    <row r="1" spans="1:21">
      <c r="A1" s="36"/>
      <c r="B1" s="36" t="s">
        <v>127</v>
      </c>
      <c r="C1" s="36" t="s">
        <v>105</v>
      </c>
      <c r="D1" s="36" t="s">
        <v>106</v>
      </c>
      <c r="E1" s="36" t="s">
        <v>107</v>
      </c>
      <c r="F1" s="36" t="s">
        <v>109</v>
      </c>
      <c r="G1" s="36" t="s">
        <v>110</v>
      </c>
      <c r="H1" s="36" t="s">
        <v>111</v>
      </c>
      <c r="I1" s="36" t="s">
        <v>112</v>
      </c>
      <c r="J1" s="36" t="s">
        <v>113</v>
      </c>
      <c r="K1" s="36" t="s">
        <v>114</v>
      </c>
      <c r="L1" s="36" t="s">
        <v>116</v>
      </c>
      <c r="M1" s="36" t="s">
        <v>117</v>
      </c>
      <c r="N1" s="36" t="s">
        <v>36</v>
      </c>
      <c r="O1" s="36" t="s">
        <v>118</v>
      </c>
      <c r="P1" s="36" t="s">
        <v>119</v>
      </c>
      <c r="Q1" s="36" t="s">
        <v>120</v>
      </c>
      <c r="R1" s="36" t="s">
        <v>121</v>
      </c>
      <c r="S1" s="36" t="s">
        <v>122</v>
      </c>
      <c r="T1" s="36" t="s">
        <v>124</v>
      </c>
      <c r="U1" s="36" t="s">
        <v>126</v>
      </c>
    </row>
    <row r="2" spans="1:21">
      <c r="A2" s="37" t="s">
        <v>127</v>
      </c>
      <c r="B2" s="12">
        <f>VARP('Total Return'!$C$3:$C$63)</f>
        <v>1.1405716169846595E-2</v>
      </c>
      <c r="C2" s="12">
        <v>4.1213659828885189E-3</v>
      </c>
      <c r="D2" s="12">
        <v>3.8841819741135724E-3</v>
      </c>
      <c r="E2" s="12">
        <v>4.4020524270222024E-3</v>
      </c>
      <c r="F2" s="12">
        <v>1.9467628451610777E-4</v>
      </c>
      <c r="G2" s="12">
        <v>2.9084658994549873E-3</v>
      </c>
      <c r="H2" s="12">
        <v>-7.835751994521589E-4</v>
      </c>
      <c r="I2" s="12">
        <v>5.3898763568554857E-4</v>
      </c>
      <c r="J2" s="12">
        <v>6.04307978079384E-3</v>
      </c>
      <c r="K2" s="12">
        <v>2.8032649003802831E-3</v>
      </c>
      <c r="L2" s="12">
        <v>5.4722777168626801E-4</v>
      </c>
      <c r="M2" s="12">
        <v>4.3447082384469541E-3</v>
      </c>
      <c r="N2" s="12">
        <v>3.2445175234698726E-3</v>
      </c>
      <c r="O2" s="12">
        <v>3.189307783374294E-3</v>
      </c>
      <c r="P2" s="12">
        <v>1.5346881400076903E-3</v>
      </c>
      <c r="Q2" s="12">
        <v>1.6074002586513045E-3</v>
      </c>
      <c r="R2" s="12">
        <v>6.7175098051644135E-5</v>
      </c>
      <c r="S2" s="12">
        <v>4.1720545686379736E-4</v>
      </c>
      <c r="T2" s="12">
        <v>1.4854690442396455E-3</v>
      </c>
      <c r="U2" s="12">
        <v>1.2413554853107618E-3</v>
      </c>
    </row>
    <row r="3" spans="1:21">
      <c r="A3" s="37" t="s">
        <v>105</v>
      </c>
      <c r="B3" s="12">
        <v>4.1213659828885189E-3</v>
      </c>
      <c r="C3" s="12">
        <f>VARP('Total Return'!$D$3:$D$63)</f>
        <v>5.5693016273070939E-3</v>
      </c>
      <c r="D3" s="12">
        <v>5.2142177467402887E-3</v>
      </c>
      <c r="E3" s="12">
        <v>3.6707688399812122E-3</v>
      </c>
      <c r="F3" s="12">
        <v>7.5831973198107788E-4</v>
      </c>
      <c r="G3" s="12">
        <v>1.2372240754533795E-3</v>
      </c>
      <c r="H3" s="12">
        <v>-2.7525800301595828E-5</v>
      </c>
      <c r="I3" s="12">
        <v>4.5232783088734496E-4</v>
      </c>
      <c r="J3" s="12">
        <v>2.3915322621672402E-3</v>
      </c>
      <c r="K3" s="12">
        <v>1.5671695547321428E-3</v>
      </c>
      <c r="L3" s="12">
        <v>7.0022779293218119E-5</v>
      </c>
      <c r="M3" s="12">
        <v>2.2798771795928918E-3</v>
      </c>
      <c r="N3" s="12">
        <v>9.6529449206526874E-4</v>
      </c>
      <c r="O3" s="12">
        <v>1.0813384799466098E-3</v>
      </c>
      <c r="P3" s="12">
        <v>6.2264130047889757E-4</v>
      </c>
      <c r="Q3" s="12">
        <v>8.2842926363927165E-4</v>
      </c>
      <c r="R3" s="12">
        <v>-6.9038371027478284E-5</v>
      </c>
      <c r="S3" s="12">
        <v>1.9596161985525424E-3</v>
      </c>
      <c r="T3" s="12">
        <v>6.532737647247313E-5</v>
      </c>
      <c r="U3" s="12">
        <v>7.068380856153862E-4</v>
      </c>
    </row>
    <row r="4" spans="1:21">
      <c r="A4" s="37" t="s">
        <v>106</v>
      </c>
      <c r="B4" s="12">
        <v>3.8841819741135724E-3</v>
      </c>
      <c r="C4" s="12">
        <v>5.2142177467402887E-3</v>
      </c>
      <c r="D4" s="12">
        <f>VARP('Total Return'!$E$3:$E$63)</f>
        <v>2.6047421728546526E-2</v>
      </c>
      <c r="E4" s="12">
        <v>8.1160923881908424E-3</v>
      </c>
      <c r="F4" s="12">
        <v>3.5078079591621199E-3</v>
      </c>
      <c r="G4" s="12">
        <v>3.651144633860951E-3</v>
      </c>
      <c r="H4" s="12">
        <v>-1.0907109219570252E-3</v>
      </c>
      <c r="I4" s="12">
        <v>-1.2883940358149192E-3</v>
      </c>
      <c r="J4" s="12">
        <v>5.9805968938048109E-3</v>
      </c>
      <c r="K4" s="12">
        <v>4.7166436517090266E-3</v>
      </c>
      <c r="L4" s="12">
        <v>3.0410145623926406E-3</v>
      </c>
      <c r="M4" s="12">
        <v>7.2184184595853081E-3</v>
      </c>
      <c r="N4" s="12">
        <v>3.4613602528135059E-3</v>
      </c>
      <c r="O4" s="12">
        <v>2.8721343587201375E-3</v>
      </c>
      <c r="P4" s="12">
        <v>3.0397635743907333E-3</v>
      </c>
      <c r="Q4" s="12">
        <v>2.1345627217834772E-3</v>
      </c>
      <c r="R4" s="12">
        <v>1.1942701813400865E-3</v>
      </c>
      <c r="S4" s="12">
        <v>6.6178500462363826E-3</v>
      </c>
      <c r="T4" s="12">
        <v>2.6008572673221013E-3</v>
      </c>
      <c r="U4" s="12">
        <v>2.5443580216370837E-3</v>
      </c>
    </row>
    <row r="5" spans="1:21">
      <c r="A5" s="37" t="s">
        <v>107</v>
      </c>
      <c r="B5" s="12">
        <v>4.4020524270222024E-3</v>
      </c>
      <c r="C5" s="12">
        <v>3.6707688399812122E-3</v>
      </c>
      <c r="D5" s="12">
        <v>8.1160923881908424E-3</v>
      </c>
      <c r="E5" s="12">
        <f>VARP('Total Return'!$F$3:$F$63)</f>
        <v>6.0326719328136144E-3</v>
      </c>
      <c r="F5" s="12">
        <v>1.2399699792080404E-3</v>
      </c>
      <c r="G5" s="12">
        <v>2.4674405506713505E-3</v>
      </c>
      <c r="H5" s="12">
        <v>-1.0529120510984749E-3</v>
      </c>
      <c r="I5" s="12">
        <v>4.0741858310480131E-4</v>
      </c>
      <c r="J5" s="12">
        <v>5.7293833868430977E-3</v>
      </c>
      <c r="K5" s="12">
        <v>2.1811440184011052E-3</v>
      </c>
      <c r="L5" s="12">
        <v>1.666962672117616E-3</v>
      </c>
      <c r="M5" s="12">
        <v>4.652282475641153E-3</v>
      </c>
      <c r="N5" s="12">
        <v>3.2633131620455227E-3</v>
      </c>
      <c r="O5" s="12">
        <v>2.6521537053529718E-3</v>
      </c>
      <c r="P5" s="12">
        <v>2.4789410797278239E-3</v>
      </c>
      <c r="Q5" s="12">
        <v>1.1402053935698577E-3</v>
      </c>
      <c r="R5" s="12">
        <v>5.580491092060959E-4</v>
      </c>
      <c r="S5" s="12">
        <v>3.3131048283582469E-3</v>
      </c>
      <c r="T5" s="12">
        <v>1.5690679949375756E-3</v>
      </c>
      <c r="U5" s="12">
        <v>1.4206589510357378E-3</v>
      </c>
    </row>
    <row r="6" spans="1:21">
      <c r="A6" s="37" t="s">
        <v>129</v>
      </c>
      <c r="B6" s="12">
        <v>1.9467628451610777E-4</v>
      </c>
      <c r="C6" s="12">
        <v>7.5831973198107788E-4</v>
      </c>
      <c r="D6" s="12">
        <v>3.5078079591621199E-3</v>
      </c>
      <c r="E6" s="12">
        <v>1.2399699792080404E-3</v>
      </c>
      <c r="F6" s="12">
        <f>VARP('Total Return'!$G$3:$G$63)</f>
        <v>2.0938424947481247E-2</v>
      </c>
      <c r="G6" s="12">
        <v>7.2531924229854959E-3</v>
      </c>
      <c r="H6" s="12">
        <v>1.2677994118781523E-3</v>
      </c>
      <c r="I6" s="12">
        <v>3.1095121467449994E-3</v>
      </c>
      <c r="J6" s="12">
        <v>-2.1855021912859612E-5</v>
      </c>
      <c r="K6" s="12">
        <v>7.8504457320893283E-4</v>
      </c>
      <c r="L6" s="12">
        <v>2.1003776799406997E-4</v>
      </c>
      <c r="M6" s="12">
        <v>2.5725598477286241E-3</v>
      </c>
      <c r="N6" s="12">
        <v>-1.2680502156227333E-4</v>
      </c>
      <c r="O6" s="12">
        <v>-5.2493665106107662E-4</v>
      </c>
      <c r="P6" s="12">
        <v>1.4212738665913976E-3</v>
      </c>
      <c r="Q6" s="12">
        <v>6.2903596323384979E-4</v>
      </c>
      <c r="R6" s="12">
        <v>6.3024522245397764E-4</v>
      </c>
      <c r="S6" s="12">
        <v>1.7035481776363031E-3</v>
      </c>
      <c r="T6" s="12">
        <v>6.4477165648780968E-4</v>
      </c>
      <c r="U6" s="12">
        <v>1.0880180367382399E-3</v>
      </c>
    </row>
    <row r="7" spans="1:21">
      <c r="A7" s="37" t="s">
        <v>110</v>
      </c>
      <c r="B7" s="12">
        <v>2.9084658994549873E-3</v>
      </c>
      <c r="C7" s="12">
        <v>1.2372240754533795E-3</v>
      </c>
      <c r="D7" s="12">
        <v>3.651144633860951E-3</v>
      </c>
      <c r="E7" s="12">
        <v>2.4674405506713505E-3</v>
      </c>
      <c r="F7" s="12">
        <v>7.2531924229854959E-3</v>
      </c>
      <c r="G7" s="12">
        <f>VARP('Total Return'!$H$3:$H$63)</f>
        <v>9.1394152070934705E-3</v>
      </c>
      <c r="H7" s="12">
        <v>-6.6178914078243354E-4</v>
      </c>
      <c r="I7" s="12">
        <v>2.8142627513059034E-3</v>
      </c>
      <c r="J7" s="12">
        <v>2.0999163700635465E-3</v>
      </c>
      <c r="K7" s="12">
        <v>1.5102358257417614E-3</v>
      </c>
      <c r="L7" s="12">
        <v>2.989276291149422E-5</v>
      </c>
      <c r="M7" s="12">
        <v>2.9140819494831091E-3</v>
      </c>
      <c r="N7" s="12">
        <v>1.1608255684915749E-3</v>
      </c>
      <c r="O7" s="12">
        <v>1.2675207209334142E-3</v>
      </c>
      <c r="P7" s="12">
        <v>1.6081556225599925E-3</v>
      </c>
      <c r="Q7" s="12">
        <v>1.1877777913922524E-3</v>
      </c>
      <c r="R7" s="12">
        <v>8.0079944113446418E-4</v>
      </c>
      <c r="S7" s="12">
        <v>1.3697722907145017E-3</v>
      </c>
      <c r="T7" s="12">
        <v>9.6513513376512137E-4</v>
      </c>
      <c r="U7" s="12">
        <v>6.4162209979373415E-4</v>
      </c>
    </row>
    <row r="8" spans="1:21">
      <c r="A8" s="37" t="s">
        <v>111</v>
      </c>
      <c r="B8" s="12">
        <v>-7.835751994521589E-4</v>
      </c>
      <c r="C8" s="12">
        <v>-2.7525800301595828E-5</v>
      </c>
      <c r="D8" s="12">
        <v>-1.0907109219570252E-3</v>
      </c>
      <c r="E8" s="12">
        <v>-1.0529120510984749E-3</v>
      </c>
      <c r="F8" s="12">
        <v>1.2677994118781523E-3</v>
      </c>
      <c r="G8" s="12">
        <v>-6.6178914078243354E-4</v>
      </c>
      <c r="H8" s="12">
        <f>VARP('Total Return'!$I$3:$I$63)</f>
        <v>1.4900246104126283E-2</v>
      </c>
      <c r="I8" s="12">
        <v>2.2981631880343765E-3</v>
      </c>
      <c r="J8" s="12">
        <v>-2.3295542757574257E-3</v>
      </c>
      <c r="K8" s="12">
        <v>1.1948989422295843E-3</v>
      </c>
      <c r="L8" s="12">
        <v>8.9651863150418695E-4</v>
      </c>
      <c r="M8" s="12">
        <v>1.9971901844021895E-3</v>
      </c>
      <c r="N8" s="12">
        <v>-7.0629024738192228E-4</v>
      </c>
      <c r="O8" s="12">
        <v>-8.8276464823964064E-4</v>
      </c>
      <c r="P8" s="12">
        <v>-2.3390775106241035E-3</v>
      </c>
      <c r="Q8" s="12">
        <v>-5.9165504189798439E-4</v>
      </c>
      <c r="R8" s="12">
        <v>-8.0074009435436512E-4</v>
      </c>
      <c r="S8" s="12">
        <v>-4.604497997069468E-4</v>
      </c>
      <c r="T8" s="12">
        <v>-1.8526915090282496E-4</v>
      </c>
      <c r="U8" s="12">
        <v>2.9545239217196643E-4</v>
      </c>
    </row>
    <row r="9" spans="1:21">
      <c r="A9" s="37" t="s">
        <v>112</v>
      </c>
      <c r="B9" s="12">
        <v>5.3898763568554857E-4</v>
      </c>
      <c r="C9" s="12">
        <v>4.5232783088734496E-4</v>
      </c>
      <c r="D9" s="12">
        <v>-1.2883940358149192E-3</v>
      </c>
      <c r="E9" s="12">
        <v>4.0741858310480131E-4</v>
      </c>
      <c r="F9" s="12">
        <v>3.1095121467449994E-3</v>
      </c>
      <c r="G9" s="12">
        <v>2.8142627513059034E-3</v>
      </c>
      <c r="H9" s="12">
        <v>2.2981631880343765E-3</v>
      </c>
      <c r="I9" s="12">
        <f>VARP('Total Return'!$J$3:$J$63)</f>
        <v>1.2135708412698232E-2</v>
      </c>
      <c r="J9" s="12">
        <v>6.6804934044269149E-4</v>
      </c>
      <c r="K9" s="12">
        <v>2.5554940740719905E-3</v>
      </c>
      <c r="L9" s="12">
        <v>2.2731789402686992E-4</v>
      </c>
      <c r="M9" s="12">
        <v>4.1451397245496867E-3</v>
      </c>
      <c r="N9" s="12">
        <v>-3.0216387491709525E-4</v>
      </c>
      <c r="O9" s="12">
        <v>-1.401815234455465E-4</v>
      </c>
      <c r="P9" s="12">
        <v>-5.6601113974004858E-4</v>
      </c>
      <c r="Q9" s="12">
        <v>5.4974421221498648E-4</v>
      </c>
      <c r="R9" s="12">
        <v>6.5291096425661404E-4</v>
      </c>
      <c r="S9" s="12">
        <v>2.430524767041615E-3</v>
      </c>
      <c r="T9" s="12">
        <v>2.6979290587100524E-3</v>
      </c>
      <c r="U9" s="12">
        <v>4.9342449056686926E-4</v>
      </c>
    </row>
    <row r="10" spans="1:21">
      <c r="A10" s="37" t="s">
        <v>113</v>
      </c>
      <c r="B10" s="12">
        <v>6.04307978079384E-3</v>
      </c>
      <c r="C10" s="12">
        <v>2.3915322621672402E-3</v>
      </c>
      <c r="D10" s="12">
        <v>5.9805968938048109E-3</v>
      </c>
      <c r="E10" s="12">
        <v>5.7293833868430977E-3</v>
      </c>
      <c r="F10" s="12">
        <v>-2.1855021912859612E-5</v>
      </c>
      <c r="G10" s="12">
        <v>2.0999163700635465E-3</v>
      </c>
      <c r="H10" s="12">
        <v>-2.3295542757574257E-3</v>
      </c>
      <c r="I10" s="12">
        <v>6.6804934044269149E-4</v>
      </c>
      <c r="J10" s="12">
        <f>VARP('Total Return'!$K$3:$K$63)</f>
        <v>1.220424193488806E-2</v>
      </c>
      <c r="K10" s="12">
        <v>2.8522020557327863E-3</v>
      </c>
      <c r="L10" s="12">
        <v>2.2930891745631126E-3</v>
      </c>
      <c r="M10" s="12">
        <v>6.5169500459792834E-3</v>
      </c>
      <c r="N10" s="12">
        <v>4.9949089314909496E-3</v>
      </c>
      <c r="O10" s="12">
        <v>4.6825568380651989E-3</v>
      </c>
      <c r="P10" s="12">
        <v>2.4032182670068267E-3</v>
      </c>
      <c r="Q10" s="12">
        <v>6.8857928296459038E-4</v>
      </c>
      <c r="R10" s="12">
        <v>1.118975147701919E-3</v>
      </c>
      <c r="S10" s="12">
        <v>1.9716221012087945E-3</v>
      </c>
      <c r="T10" s="12">
        <v>5.9984032656085315E-4</v>
      </c>
      <c r="U10" s="12">
        <v>1.9984157383473502E-3</v>
      </c>
    </row>
    <row r="11" spans="1:21">
      <c r="A11" s="37" t="s">
        <v>114</v>
      </c>
      <c r="B11" s="12">
        <v>2.8032649003802831E-3</v>
      </c>
      <c r="C11" s="12">
        <v>1.5671695547321428E-3</v>
      </c>
      <c r="D11" s="12">
        <v>4.7166436517090266E-3</v>
      </c>
      <c r="E11" s="12">
        <v>2.1811440184011052E-3</v>
      </c>
      <c r="F11" s="12">
        <v>7.8504457320893283E-4</v>
      </c>
      <c r="G11" s="12">
        <v>1.5102358257417614E-3</v>
      </c>
      <c r="H11" s="12">
        <v>1.1948989422295843E-3</v>
      </c>
      <c r="I11" s="12">
        <v>2.5554940740719905E-3</v>
      </c>
      <c r="J11" s="12">
        <v>2.8522020557327863E-3</v>
      </c>
      <c r="K11" s="12">
        <f>VARP('Total Return'!$L$3:$L$63)</f>
        <v>6.3171376103017558E-3</v>
      </c>
      <c r="L11" s="12">
        <v>1.2501748868813626E-3</v>
      </c>
      <c r="M11" s="12">
        <v>3.685880386154796E-3</v>
      </c>
      <c r="N11" s="12">
        <v>1.5739272385973321E-3</v>
      </c>
      <c r="O11" s="12">
        <v>1.6675639237880547E-3</v>
      </c>
      <c r="P11" s="12">
        <v>1.0825481737088344E-3</v>
      </c>
      <c r="Q11" s="12">
        <v>4.8525240758223693E-4</v>
      </c>
      <c r="R11" s="12">
        <v>4.7767932422762576E-4</v>
      </c>
      <c r="S11" s="12">
        <v>1.7712201354142495E-3</v>
      </c>
      <c r="T11" s="12">
        <v>4.9241375688883809E-4</v>
      </c>
      <c r="U11" s="12">
        <v>6.5269457206991411E-4</v>
      </c>
    </row>
    <row r="12" spans="1:21">
      <c r="A12" s="37" t="s">
        <v>116</v>
      </c>
      <c r="B12" s="12">
        <v>5.4722777168626801E-4</v>
      </c>
      <c r="C12" s="12">
        <v>7.0022779293218119E-5</v>
      </c>
      <c r="D12" s="12">
        <v>3.0410145623926406E-3</v>
      </c>
      <c r="E12" s="12">
        <v>1.666962672117616E-3</v>
      </c>
      <c r="F12" s="12">
        <v>2.1003776799406997E-4</v>
      </c>
      <c r="G12" s="12">
        <v>2.989276291149422E-5</v>
      </c>
      <c r="H12" s="12">
        <v>8.9651863150418695E-4</v>
      </c>
      <c r="I12" s="12">
        <v>2.2731789402686992E-4</v>
      </c>
      <c r="J12" s="12">
        <v>2.2930891745631126E-3</v>
      </c>
      <c r="K12" s="12">
        <v>1.2501748868813626E-3</v>
      </c>
      <c r="L12" s="12">
        <f>VARP('Total Return'!$M$3:$M$63)</f>
        <v>6.6107564385174565E-3</v>
      </c>
      <c r="M12" s="12">
        <v>2.5791433444450713E-3</v>
      </c>
      <c r="N12" s="12">
        <v>1.1995041809009113E-3</v>
      </c>
      <c r="O12" s="12">
        <v>9.8357439022297706E-4</v>
      </c>
      <c r="P12" s="12">
        <v>7.6532450756826699E-4</v>
      </c>
      <c r="Q12" s="12">
        <v>5.3782726469984933E-4</v>
      </c>
      <c r="R12" s="12">
        <v>1.6868743492618463E-3</v>
      </c>
      <c r="S12" s="12">
        <v>1.7432848454697369E-3</v>
      </c>
      <c r="T12" s="12">
        <v>2.1164923238032023E-3</v>
      </c>
      <c r="U12" s="12">
        <v>6.057071263801103E-4</v>
      </c>
    </row>
    <row r="13" spans="1:21">
      <c r="A13" s="37" t="s">
        <v>117</v>
      </c>
      <c r="B13" s="12">
        <v>4.3447082384469541E-3</v>
      </c>
      <c r="C13" s="12">
        <v>2.2798771795928918E-3</v>
      </c>
      <c r="D13" s="12">
        <v>7.2184184595853081E-3</v>
      </c>
      <c r="E13" s="12">
        <v>4.652282475641153E-3</v>
      </c>
      <c r="F13" s="12">
        <v>2.5725598477286241E-3</v>
      </c>
      <c r="G13" s="12">
        <v>2.9140819494831091E-3</v>
      </c>
      <c r="H13" s="12">
        <v>1.9971901844021895E-3</v>
      </c>
      <c r="I13" s="12">
        <v>4.1451397245496867E-3</v>
      </c>
      <c r="J13" s="12">
        <v>6.5169500459792834E-3</v>
      </c>
      <c r="K13" s="12">
        <v>3.685880386154796E-3</v>
      </c>
      <c r="L13" s="12">
        <v>2.5791433444450713E-3</v>
      </c>
      <c r="M13" s="12">
        <f>VARP('Total Return'!$N$3:$N$63)</f>
        <v>9.9965638964376845E-3</v>
      </c>
      <c r="N13" s="12">
        <v>2.7291826284115534E-3</v>
      </c>
      <c r="O13" s="12">
        <v>1.7082262736235318E-3</v>
      </c>
      <c r="P13" s="12">
        <v>2.2259865859413554E-3</v>
      </c>
      <c r="Q13" s="12">
        <v>1.3979323529647871E-3</v>
      </c>
      <c r="R13" s="12">
        <v>9.5683005087029537E-4</v>
      </c>
      <c r="S13" s="12">
        <v>4.5960582592227805E-3</v>
      </c>
      <c r="T13" s="12">
        <v>2.5334566173249216E-3</v>
      </c>
      <c r="U13" s="12">
        <v>2.2679725305449925E-3</v>
      </c>
    </row>
    <row r="14" spans="1:21">
      <c r="A14" s="37" t="s">
        <v>36</v>
      </c>
      <c r="B14" s="12">
        <v>3.2445175234698726E-3</v>
      </c>
      <c r="C14" s="12">
        <v>9.6529449206526874E-4</v>
      </c>
      <c r="D14" s="12">
        <v>3.4613602528135059E-3</v>
      </c>
      <c r="E14" s="12">
        <v>3.2633131620455227E-3</v>
      </c>
      <c r="F14" s="12">
        <v>-1.2680502156227333E-4</v>
      </c>
      <c r="G14" s="12">
        <v>1.1608255684915749E-3</v>
      </c>
      <c r="H14" s="12">
        <v>-7.0629024738192228E-4</v>
      </c>
      <c r="I14" s="12">
        <v>-3.0216387491709525E-4</v>
      </c>
      <c r="J14" s="12">
        <v>4.9949089314909496E-3</v>
      </c>
      <c r="K14" s="12">
        <v>1.5739272385973321E-3</v>
      </c>
      <c r="L14" s="12">
        <v>1.1995041809009113E-3</v>
      </c>
      <c r="M14" s="12">
        <v>2.7291826284115534E-3</v>
      </c>
      <c r="N14" s="12">
        <f>VARP('Total Return'!$O$3:$O$63)</f>
        <v>4.2040258017754231E-3</v>
      </c>
      <c r="O14" s="12">
        <v>2.6555778206443577E-3</v>
      </c>
      <c r="P14" s="12">
        <v>1.6298959477926223E-3</v>
      </c>
      <c r="Q14" s="12">
        <v>6.3569792819899971E-4</v>
      </c>
      <c r="R14" s="12">
        <v>8.192526136411453E-4</v>
      </c>
      <c r="S14" s="12">
        <v>1.9808232616846779E-3</v>
      </c>
      <c r="T14" s="12">
        <v>2.174571586080623E-3</v>
      </c>
      <c r="U14" s="12">
        <v>1.026340898317603E-3</v>
      </c>
    </row>
    <row r="15" spans="1:21">
      <c r="A15" s="37" t="s">
        <v>118</v>
      </c>
      <c r="B15" s="12">
        <v>3.189307783374294E-3</v>
      </c>
      <c r="C15" s="12">
        <v>1.0813384799466098E-3</v>
      </c>
      <c r="D15" s="12">
        <v>2.8721343587201375E-3</v>
      </c>
      <c r="E15" s="12">
        <v>2.6521537053529718E-3</v>
      </c>
      <c r="F15" s="12">
        <v>-5.2493665106107662E-4</v>
      </c>
      <c r="G15" s="12">
        <v>1.2675207209334142E-3</v>
      </c>
      <c r="H15" s="12">
        <v>-8.8276464823964064E-4</v>
      </c>
      <c r="I15" s="12">
        <v>-1.401815234455465E-4</v>
      </c>
      <c r="J15" s="12">
        <v>4.6825568380651989E-3</v>
      </c>
      <c r="K15" s="12">
        <v>1.6675639237880547E-3</v>
      </c>
      <c r="L15" s="12">
        <v>9.8357439022297706E-4</v>
      </c>
      <c r="M15" s="12">
        <v>1.7082262736235318E-3</v>
      </c>
      <c r="N15" s="12">
        <v>2.6555778206443577E-3</v>
      </c>
      <c r="O15" s="12">
        <f>VARP('Total Return'!$P$3:$P$63)</f>
        <v>3.3056520078814937E-3</v>
      </c>
      <c r="P15" s="12">
        <v>1.070376652952726E-3</v>
      </c>
      <c r="Q15" s="12">
        <v>4.0357990454104373E-4</v>
      </c>
      <c r="R15" s="12">
        <v>5.1033671690050078E-4</v>
      </c>
      <c r="S15" s="12">
        <v>5.2642323882367973E-4</v>
      </c>
      <c r="T15" s="12">
        <v>8.2593061851988158E-4</v>
      </c>
      <c r="U15" s="12">
        <v>4.7583911962083947E-4</v>
      </c>
    </row>
    <row r="16" spans="1:21">
      <c r="A16" s="37" t="s">
        <v>119</v>
      </c>
      <c r="B16" s="12">
        <v>1.5346881400076903E-3</v>
      </c>
      <c r="C16" s="12">
        <v>6.2264130047889757E-4</v>
      </c>
      <c r="D16" s="12">
        <v>3.0397635743907333E-3</v>
      </c>
      <c r="E16" s="12">
        <v>2.4789410797278239E-3</v>
      </c>
      <c r="F16" s="12">
        <v>1.4212738665913976E-3</v>
      </c>
      <c r="G16" s="12">
        <v>1.6081556225599925E-3</v>
      </c>
      <c r="H16" s="12">
        <v>-2.3390775106241035E-3</v>
      </c>
      <c r="I16" s="12">
        <v>-5.6601113974004858E-4</v>
      </c>
      <c r="J16" s="12">
        <v>2.4032182670068267E-3</v>
      </c>
      <c r="K16" s="12">
        <v>1.0825481737088344E-3</v>
      </c>
      <c r="L16" s="12">
        <v>7.6532450756826699E-4</v>
      </c>
      <c r="M16" s="12">
        <v>2.2259865859413554E-3</v>
      </c>
      <c r="N16" s="12">
        <v>1.6298959477926223E-3</v>
      </c>
      <c r="O16" s="12">
        <v>1.070376652952726E-3</v>
      </c>
      <c r="P16" s="12">
        <f>VARP('Total Return'!$Q$3:$Q$63)</f>
        <v>4.8666862679435964E-3</v>
      </c>
      <c r="Q16" s="12">
        <v>1.4058002231720922E-3</v>
      </c>
      <c r="R16" s="12">
        <v>1.4244122064749184E-3</v>
      </c>
      <c r="S16" s="12">
        <v>1.4185950429027418E-3</v>
      </c>
      <c r="T16" s="12">
        <v>2.242242224469533E-3</v>
      </c>
      <c r="U16" s="12">
        <v>6.2167885259226921E-4</v>
      </c>
    </row>
    <row r="17" spans="1:21">
      <c r="A17" s="37" t="s">
        <v>120</v>
      </c>
      <c r="B17" s="12">
        <v>1.6074002586513045E-3</v>
      </c>
      <c r="C17" s="12">
        <v>8.2842926363927165E-4</v>
      </c>
      <c r="D17" s="12">
        <v>2.1345627217834772E-3</v>
      </c>
      <c r="E17" s="12">
        <v>1.1402053935698577E-3</v>
      </c>
      <c r="F17" s="12">
        <v>6.2903596323384979E-4</v>
      </c>
      <c r="G17" s="12">
        <v>1.1877777913922524E-3</v>
      </c>
      <c r="H17" s="12">
        <v>-5.9165504189798439E-4</v>
      </c>
      <c r="I17" s="12">
        <v>5.4974421221498648E-4</v>
      </c>
      <c r="J17" s="12">
        <v>6.8857928296459038E-4</v>
      </c>
      <c r="K17" s="12">
        <v>4.8525240758223693E-4</v>
      </c>
      <c r="L17" s="12">
        <v>5.3782726469984933E-4</v>
      </c>
      <c r="M17" s="12">
        <v>1.3979323529647871E-3</v>
      </c>
      <c r="N17" s="12">
        <v>6.3569792819899971E-4</v>
      </c>
      <c r="O17" s="12">
        <v>4.0357990454104373E-4</v>
      </c>
      <c r="P17" s="12">
        <v>1.4058002231720922E-3</v>
      </c>
      <c r="Q17" s="12">
        <f>VARP('Total Return'!$R$3:$R$63)</f>
        <v>1.7733300789054903E-3</v>
      </c>
      <c r="R17" s="12">
        <v>6.440871554330397E-4</v>
      </c>
      <c r="S17" s="12">
        <v>5.7382363626205552E-4</v>
      </c>
      <c r="T17" s="12">
        <v>1.451674306545058E-3</v>
      </c>
      <c r="U17" s="12">
        <v>5.1660803163708596E-4</v>
      </c>
    </row>
    <row r="18" spans="1:21">
      <c r="A18" s="37" t="s">
        <v>131</v>
      </c>
      <c r="B18" s="12">
        <v>6.7175098051644135E-5</v>
      </c>
      <c r="C18" s="12">
        <v>-6.9038371027478284E-5</v>
      </c>
      <c r="D18" s="12">
        <v>1.1942701813400865E-3</v>
      </c>
      <c r="E18" s="12">
        <v>5.580491092060959E-4</v>
      </c>
      <c r="F18" s="12">
        <v>6.3024522245397764E-4</v>
      </c>
      <c r="G18" s="12">
        <v>8.0079944113446418E-4</v>
      </c>
      <c r="H18" s="12">
        <v>-8.0074009435436512E-4</v>
      </c>
      <c r="I18" s="12">
        <v>6.5291096425661404E-4</v>
      </c>
      <c r="J18" s="12">
        <v>1.118975147701919E-3</v>
      </c>
      <c r="K18" s="12">
        <v>4.7767932422762576E-4</v>
      </c>
      <c r="L18" s="12">
        <v>1.6868743492618463E-3</v>
      </c>
      <c r="M18" s="12">
        <v>9.5683005087029537E-4</v>
      </c>
      <c r="N18" s="12">
        <v>8.192526136411453E-4</v>
      </c>
      <c r="O18" s="12">
        <v>5.1033671690050078E-4</v>
      </c>
      <c r="P18" s="12">
        <v>1.4244122064749184E-3</v>
      </c>
      <c r="Q18" s="12">
        <v>6.440871554330397E-4</v>
      </c>
      <c r="R18" s="12">
        <f>VARP('Total Return'!$S$3:$S$63)</f>
        <v>2.0167034723049472E-3</v>
      </c>
      <c r="S18" s="12">
        <v>5.0976593156478779E-4</v>
      </c>
      <c r="T18" s="12">
        <v>8.3839047253145337E-4</v>
      </c>
      <c r="U18" s="12">
        <v>3.2247336155703652E-4</v>
      </c>
    </row>
    <row r="19" spans="1:21">
      <c r="A19" s="37" t="s">
        <v>122</v>
      </c>
      <c r="B19" s="12">
        <v>4.1720545686379736E-4</v>
      </c>
      <c r="C19" s="12">
        <v>1.9596161985525424E-3</v>
      </c>
      <c r="D19" s="12">
        <v>6.6178500462363826E-3</v>
      </c>
      <c r="E19" s="12">
        <v>3.3131048283582469E-3</v>
      </c>
      <c r="F19" s="12">
        <v>1.7035481776363031E-3</v>
      </c>
      <c r="G19" s="12">
        <v>1.3697722907145017E-3</v>
      </c>
      <c r="H19" s="12">
        <v>-4.604497997069468E-4</v>
      </c>
      <c r="I19" s="12">
        <v>2.430524767041615E-3</v>
      </c>
      <c r="J19" s="12">
        <v>1.9716221012087945E-3</v>
      </c>
      <c r="K19" s="12">
        <v>1.7712201354142495E-3</v>
      </c>
      <c r="L19" s="12">
        <v>1.7432848454697369E-3</v>
      </c>
      <c r="M19" s="12">
        <v>4.5960582592227805E-3</v>
      </c>
      <c r="N19" s="12">
        <v>1.9808232616846779E-3</v>
      </c>
      <c r="O19" s="12">
        <v>5.2642323882367973E-4</v>
      </c>
      <c r="P19" s="12">
        <v>1.4185950429027418E-3</v>
      </c>
      <c r="Q19" s="12">
        <v>5.7382363626205552E-4</v>
      </c>
      <c r="R19" s="12">
        <v>5.0976593156478779E-4</v>
      </c>
      <c r="S19" s="12">
        <f>VARP('Total Return'!$T$3:$T$63)</f>
        <v>1.2392841901548431E-2</v>
      </c>
      <c r="T19" s="12">
        <v>3.9116228038986066E-3</v>
      </c>
      <c r="U19" s="12">
        <v>6.2372416473121194E-4</v>
      </c>
    </row>
    <row r="20" spans="1:21">
      <c r="A20" s="37" t="s">
        <v>124</v>
      </c>
      <c r="B20" s="12">
        <v>1.4854690442396455E-3</v>
      </c>
      <c r="C20" s="12">
        <v>6.532737647247313E-5</v>
      </c>
      <c r="D20" s="12">
        <v>2.6008572673221013E-3</v>
      </c>
      <c r="E20" s="12">
        <v>1.5690679949375756E-3</v>
      </c>
      <c r="F20" s="12">
        <v>6.4477165648780968E-4</v>
      </c>
      <c r="G20" s="12">
        <v>9.6513513376512137E-4</v>
      </c>
      <c r="H20" s="12">
        <v>-1.8526915090282496E-4</v>
      </c>
      <c r="I20" s="12">
        <v>2.6979290587100524E-3</v>
      </c>
      <c r="J20" s="12">
        <v>5.9984032656085315E-4</v>
      </c>
      <c r="K20" s="12">
        <v>4.9241375688883809E-4</v>
      </c>
      <c r="L20" s="12">
        <v>2.1164923238032023E-3</v>
      </c>
      <c r="M20" s="12">
        <v>2.5334566173249216E-3</v>
      </c>
      <c r="N20" s="12">
        <v>2.174571586080623E-3</v>
      </c>
      <c r="O20" s="12">
        <v>8.2593061851988158E-4</v>
      </c>
      <c r="P20" s="12">
        <v>2.242242224469533E-3</v>
      </c>
      <c r="Q20" s="12">
        <v>1.451674306545058E-3</v>
      </c>
      <c r="R20" s="12">
        <v>8.3839047253145337E-4</v>
      </c>
      <c r="S20" s="12">
        <v>3.9116228038986066E-3</v>
      </c>
      <c r="T20" s="12">
        <f>VARP('Total Return'!$U$3:$U$63)</f>
        <v>1.6923062726953004E-2</v>
      </c>
      <c r="U20" s="12">
        <v>1.085906450147498E-3</v>
      </c>
    </row>
    <row r="21" spans="1:21">
      <c r="A21" s="37" t="s">
        <v>126</v>
      </c>
      <c r="B21" s="12">
        <v>1.2413554853107618E-3</v>
      </c>
      <c r="C21" s="12">
        <v>7.068380856153862E-4</v>
      </c>
      <c r="D21" s="12">
        <v>2.5443580216370837E-3</v>
      </c>
      <c r="E21" s="12">
        <v>1.4206589510357378E-3</v>
      </c>
      <c r="F21" s="12">
        <v>1.0880180367382399E-3</v>
      </c>
      <c r="G21" s="12">
        <v>6.4162209979373415E-4</v>
      </c>
      <c r="H21" s="12">
        <v>2.9545239217196643E-4</v>
      </c>
      <c r="I21" s="12">
        <v>4.9342449056686926E-4</v>
      </c>
      <c r="J21" s="12">
        <v>1.9984157383473502E-3</v>
      </c>
      <c r="K21" s="12">
        <v>6.5269457206991411E-4</v>
      </c>
      <c r="L21" s="12">
        <v>6.057071263801103E-4</v>
      </c>
      <c r="M21" s="12">
        <v>2.2679725305449925E-3</v>
      </c>
      <c r="N21" s="12">
        <v>1.026340898317603E-3</v>
      </c>
      <c r="O21" s="12">
        <v>4.7583911962083947E-4</v>
      </c>
      <c r="P21" s="12">
        <v>6.2167885259226921E-4</v>
      </c>
      <c r="Q21" s="12">
        <v>5.1660803163708596E-4</v>
      </c>
      <c r="R21" s="12">
        <v>3.2247336155703652E-4</v>
      </c>
      <c r="S21" s="12">
        <v>6.2372416473121194E-4</v>
      </c>
      <c r="T21" s="12">
        <v>1.085906450147498E-3</v>
      </c>
      <c r="U21" s="12">
        <f>VARP('Total Return'!$V$3:$V$63)</f>
        <v>1.1236216080743437E-3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B1C1-3949-46CF-AD0C-F1FF0B77E751}">
  <dimension ref="A1:C28"/>
  <sheetViews>
    <sheetView zoomScale="50" zoomScaleNormal="89" workbookViewId="0">
      <selection activeCell="D28" sqref="D28"/>
    </sheetView>
  </sheetViews>
  <sheetFormatPr defaultColWidth="8.81640625" defaultRowHeight="14.5"/>
  <cols>
    <col min="1" max="1" width="19.1796875" bestFit="1" customWidth="1"/>
    <col min="2" max="2" width="9.7265625" bestFit="1" customWidth="1"/>
    <col min="3" max="3" width="10" customWidth="1"/>
  </cols>
  <sheetData>
    <row r="1" spans="1:3" ht="18.5">
      <c r="A1" s="131" t="s">
        <v>41</v>
      </c>
      <c r="B1" s="131" t="s">
        <v>42</v>
      </c>
      <c r="C1" s="131" t="s">
        <v>43</v>
      </c>
    </row>
    <row r="2" spans="1:3">
      <c r="A2" s="37" t="s">
        <v>127</v>
      </c>
      <c r="B2" s="62">
        <v>2.7526427991102449E-2</v>
      </c>
      <c r="C2" s="52">
        <f>1/20</f>
        <v>0.05</v>
      </c>
    </row>
    <row r="3" spans="1:3">
      <c r="A3" s="37" t="s">
        <v>105</v>
      </c>
      <c r="B3" s="62">
        <v>1.2711610928648181E-2</v>
      </c>
      <c r="C3" s="52">
        <f t="shared" ref="C3:C21" si="0">1/20</f>
        <v>0.05</v>
      </c>
    </row>
    <row r="4" spans="1:3">
      <c r="A4" s="37" t="s">
        <v>106</v>
      </c>
      <c r="B4" s="62">
        <v>1.2891114232266434E-2</v>
      </c>
      <c r="C4" s="52">
        <f t="shared" si="0"/>
        <v>0.05</v>
      </c>
    </row>
    <row r="5" spans="1:3">
      <c r="A5" s="37" t="s">
        <v>107</v>
      </c>
      <c r="B5" s="62">
        <v>-2.179111334745608E-3</v>
      </c>
      <c r="C5" s="52">
        <f t="shared" si="0"/>
        <v>0.05</v>
      </c>
    </row>
    <row r="6" spans="1:3">
      <c r="A6" s="37" t="s">
        <v>129</v>
      </c>
      <c r="B6" s="62">
        <v>3.2061137995684033E-3</v>
      </c>
      <c r="C6" s="52">
        <f t="shared" si="0"/>
        <v>0.05</v>
      </c>
    </row>
    <row r="7" spans="1:3">
      <c r="A7" s="37" t="s">
        <v>110</v>
      </c>
      <c r="B7" s="62">
        <v>1.6590918261279002E-5</v>
      </c>
      <c r="C7" s="52">
        <f t="shared" si="0"/>
        <v>0.05</v>
      </c>
    </row>
    <row r="8" spans="1:3">
      <c r="A8" s="37" t="s">
        <v>111</v>
      </c>
      <c r="B8" s="62">
        <v>1.9922484551896161E-2</v>
      </c>
      <c r="C8" s="52">
        <f t="shared" si="0"/>
        <v>0.05</v>
      </c>
    </row>
    <row r="9" spans="1:3">
      <c r="A9" s="37" t="s">
        <v>112</v>
      </c>
      <c r="B9" s="62">
        <v>4.1872316759451703E-2</v>
      </c>
      <c r="C9" s="52">
        <f t="shared" si="0"/>
        <v>0.05</v>
      </c>
    </row>
    <row r="10" spans="1:3">
      <c r="A10" s="37" t="s">
        <v>113</v>
      </c>
      <c r="B10" s="62">
        <v>4.3521431989681182E-3</v>
      </c>
      <c r="C10" s="52">
        <f t="shared" si="0"/>
        <v>0.05</v>
      </c>
    </row>
    <row r="11" spans="1:3">
      <c r="A11" s="37" t="s">
        <v>114</v>
      </c>
      <c r="B11" s="62">
        <v>-4.6500704701170738E-3</v>
      </c>
      <c r="C11" s="52">
        <f t="shared" si="0"/>
        <v>0.05</v>
      </c>
    </row>
    <row r="12" spans="1:3">
      <c r="A12" s="37" t="s">
        <v>116</v>
      </c>
      <c r="B12" s="62">
        <v>2.1240527279640105E-2</v>
      </c>
      <c r="C12" s="52">
        <f t="shared" si="0"/>
        <v>0.05</v>
      </c>
    </row>
    <row r="13" spans="1:3">
      <c r="A13" s="37" t="s">
        <v>117</v>
      </c>
      <c r="B13" s="62">
        <v>-5.5687618909142271E-3</v>
      </c>
      <c r="C13" s="52">
        <f t="shared" si="0"/>
        <v>0.05</v>
      </c>
    </row>
    <row r="14" spans="1:3">
      <c r="A14" s="37" t="s">
        <v>36</v>
      </c>
      <c r="B14" s="62">
        <v>1.5390253792169598E-3</v>
      </c>
      <c r="C14" s="52">
        <f t="shared" si="0"/>
        <v>0.05</v>
      </c>
    </row>
    <row r="15" spans="1:3">
      <c r="A15" s="37" t="s">
        <v>118</v>
      </c>
      <c r="B15" s="62">
        <v>6.5731311023136561E-3</v>
      </c>
      <c r="C15" s="52">
        <f t="shared" si="0"/>
        <v>0.05</v>
      </c>
    </row>
    <row r="16" spans="1:3">
      <c r="A16" s="37" t="s">
        <v>119</v>
      </c>
      <c r="B16" s="62">
        <v>-9.7273706758208411E-3</v>
      </c>
      <c r="C16" s="52">
        <f t="shared" si="0"/>
        <v>0.05</v>
      </c>
    </row>
    <row r="17" spans="1:3">
      <c r="A17" s="37" t="s">
        <v>120</v>
      </c>
      <c r="B17" s="62">
        <v>8.6712521554110425E-3</v>
      </c>
      <c r="C17" s="52">
        <f t="shared" si="0"/>
        <v>0.05</v>
      </c>
    </row>
    <row r="18" spans="1:3">
      <c r="A18" s="37" t="s">
        <v>131</v>
      </c>
      <c r="B18" s="62">
        <v>-6.6877443737811627E-4</v>
      </c>
      <c r="C18" s="52">
        <f t="shared" si="0"/>
        <v>0.05</v>
      </c>
    </row>
    <row r="19" spans="1:3">
      <c r="A19" s="37" t="s">
        <v>122</v>
      </c>
      <c r="B19" s="62">
        <v>4.4608487957046028E-3</v>
      </c>
      <c r="C19" s="52">
        <f t="shared" si="0"/>
        <v>0.05</v>
      </c>
    </row>
    <row r="20" spans="1:3">
      <c r="A20" s="37" t="s">
        <v>124</v>
      </c>
      <c r="B20" s="63">
        <v>8.659258405648896E-3</v>
      </c>
      <c r="C20" s="52">
        <f t="shared" si="0"/>
        <v>0.05</v>
      </c>
    </row>
    <row r="21" spans="1:3" ht="15" thickBot="1">
      <c r="A21" s="37" t="s">
        <v>126</v>
      </c>
      <c r="B21" s="63">
        <v>7.0493825171110682E-3</v>
      </c>
      <c r="C21" s="52">
        <f t="shared" si="0"/>
        <v>0.05</v>
      </c>
    </row>
    <row r="22" spans="1:3" ht="15" thickBot="1">
      <c r="A22" s="57" t="s">
        <v>86</v>
      </c>
      <c r="B22" s="55"/>
      <c r="C22" s="56">
        <f>SUM(C2:C21)</f>
        <v>1.0000000000000002</v>
      </c>
    </row>
    <row r="23" spans="1:3" ht="15" thickTop="1"/>
    <row r="24" spans="1:3">
      <c r="A24" s="177" t="s">
        <v>44</v>
      </c>
      <c r="B24" s="177"/>
      <c r="C24" s="53">
        <f>8.74%/12</f>
        <v>7.2833333333333335E-3</v>
      </c>
    </row>
    <row r="25" spans="1:3">
      <c r="A25" s="177" t="s">
        <v>66</v>
      </c>
      <c r="B25" s="177"/>
      <c r="C25" s="53" cm="1">
        <f t="array" ref="C25">MMULT(TRANSPOSE(C2:C21),B2:B21)</f>
        <v>7.8949069603116602E-3</v>
      </c>
    </row>
    <row r="26" spans="1:3">
      <c r="A26" s="177" t="s">
        <v>45</v>
      </c>
      <c r="B26" s="177"/>
      <c r="C26" s="53" cm="1">
        <f t="array" ref="C26">MMULT(TRANSPOSE(C2:C21),MMULT(Covariance!B2:U21,'Equal Weight'!C2:C21))</f>
        <v>2.0394472398296824E-3</v>
      </c>
    </row>
    <row r="27" spans="1:3">
      <c r="A27" s="177" t="s">
        <v>46</v>
      </c>
      <c r="B27" s="177"/>
      <c r="C27" s="53">
        <f>SQRT(C26)</f>
        <v>4.5160239590038516E-2</v>
      </c>
    </row>
    <row r="28" spans="1:3">
      <c r="A28" s="177" t="s">
        <v>47</v>
      </c>
      <c r="B28" s="177"/>
      <c r="C28" s="54">
        <f>(C25-C24)/C27</f>
        <v>1.3542302532717921E-2</v>
      </c>
    </row>
  </sheetData>
  <mergeCells count="5">
    <mergeCell ref="A24:B24"/>
    <mergeCell ref="A28:B28"/>
    <mergeCell ref="A27:B27"/>
    <mergeCell ref="A26:B26"/>
    <mergeCell ref="A25:B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355D-9637-48C6-863A-2DAE6A1DAD33}">
  <dimension ref="A1:R41"/>
  <sheetViews>
    <sheetView topLeftCell="A3" zoomScale="59" zoomScaleNormal="77" workbookViewId="0">
      <selection activeCell="P1" activeCellId="3" sqref="A1:C1 F1:H1 K1:M1 P1:R1"/>
    </sheetView>
  </sheetViews>
  <sheetFormatPr defaultColWidth="8.81640625" defaultRowHeight="14.5"/>
  <cols>
    <col min="1" max="1" width="19.1796875" bestFit="1" customWidth="1"/>
    <col min="2" max="2" width="8.90625" bestFit="1" customWidth="1"/>
    <col min="3" max="3" width="9.1796875" customWidth="1"/>
    <col min="6" max="6" width="19.1796875" bestFit="1" customWidth="1"/>
    <col min="11" max="11" width="19.1796875" bestFit="1" customWidth="1"/>
    <col min="16" max="16" width="19.1796875" bestFit="1" customWidth="1"/>
    <col min="18" max="18" width="9.36328125" bestFit="1" customWidth="1"/>
  </cols>
  <sheetData>
    <row r="1" spans="1:18" ht="15.5">
      <c r="A1" s="129" t="s">
        <v>41</v>
      </c>
      <c r="B1" s="129" t="s">
        <v>42</v>
      </c>
      <c r="C1" s="129" t="s">
        <v>43</v>
      </c>
      <c r="F1" s="130" t="s">
        <v>41</v>
      </c>
      <c r="G1" s="130" t="s">
        <v>42</v>
      </c>
      <c r="H1" s="130" t="s">
        <v>43</v>
      </c>
      <c r="K1" s="130" t="s">
        <v>41</v>
      </c>
      <c r="L1" s="130" t="s">
        <v>42</v>
      </c>
      <c r="M1" s="130" t="s">
        <v>43</v>
      </c>
      <c r="P1" s="130" t="s">
        <v>41</v>
      </c>
      <c r="Q1" s="130" t="s">
        <v>42</v>
      </c>
      <c r="R1" s="130" t="s">
        <v>43</v>
      </c>
    </row>
    <row r="2" spans="1:18">
      <c r="A2" s="37" t="s">
        <v>127</v>
      </c>
      <c r="B2" s="62">
        <v>2.7526427991102449E-2</v>
      </c>
      <c r="C2" s="64">
        <v>0.70610698533266325</v>
      </c>
      <c r="F2" s="37" t="s">
        <v>127</v>
      </c>
      <c r="G2" s="62">
        <v>2.7526427991102449E-2</v>
      </c>
      <c r="H2" s="64">
        <v>0.10352909786169244</v>
      </c>
      <c r="K2" s="37" t="s">
        <v>127</v>
      </c>
      <c r="L2" s="62">
        <v>2.7526427991102449E-2</v>
      </c>
      <c r="M2" s="64">
        <v>0.85057807351022496</v>
      </c>
      <c r="P2" s="37" t="s">
        <v>127</v>
      </c>
      <c r="Q2" s="62">
        <v>2.7526427991102449E-2</v>
      </c>
      <c r="R2" s="64">
        <v>1.2794375406477672</v>
      </c>
    </row>
    <row r="3" spans="1:18">
      <c r="A3" s="37" t="s">
        <v>105</v>
      </c>
      <c r="B3" s="62">
        <v>1.2711610928648181E-2</v>
      </c>
      <c r="C3" s="64">
        <v>0.47871016363990643</v>
      </c>
      <c r="F3" s="37" t="s">
        <v>105</v>
      </c>
      <c r="G3" s="62">
        <v>1.2711610928648181E-2</v>
      </c>
      <c r="H3" s="64">
        <v>0.15890865350325506</v>
      </c>
      <c r="K3" s="37" t="s">
        <v>105</v>
      </c>
      <c r="L3" s="62">
        <v>1.2711610928648181E-2</v>
      </c>
      <c r="M3" s="64">
        <v>0.41885770836244662</v>
      </c>
      <c r="P3" s="37" t="s">
        <v>105</v>
      </c>
      <c r="Q3" s="62">
        <v>1.2711610928648181E-2</v>
      </c>
      <c r="R3" s="64">
        <v>0.24322973524913999</v>
      </c>
    </row>
    <row r="4" spans="1:18">
      <c r="A4" s="37" t="s">
        <v>106</v>
      </c>
      <c r="B4" s="62">
        <v>1.2891114232266434E-2</v>
      </c>
      <c r="C4" s="64">
        <v>0.61505870055878897</v>
      </c>
      <c r="F4" s="37" t="s">
        <v>106</v>
      </c>
      <c r="G4" s="62">
        <v>1.2891114232266434E-2</v>
      </c>
      <c r="H4" s="64">
        <v>6.9544965659526975E-2</v>
      </c>
      <c r="K4" s="37" t="s">
        <v>106</v>
      </c>
      <c r="L4" s="62">
        <v>1.2891114232266434E-2</v>
      </c>
      <c r="M4" s="64">
        <v>0.6890978622546543</v>
      </c>
      <c r="P4" s="37" t="s">
        <v>106</v>
      </c>
      <c r="Q4" s="62">
        <v>1.2891114232266434E-2</v>
      </c>
      <c r="R4" s="64">
        <v>0.90428912868075884</v>
      </c>
    </row>
    <row r="5" spans="1:18">
      <c r="A5" s="37" t="s">
        <v>107</v>
      </c>
      <c r="B5" s="62">
        <v>-2.179111334745608E-3</v>
      </c>
      <c r="C5" s="64">
        <v>-2</v>
      </c>
      <c r="F5" s="37" t="s">
        <v>107</v>
      </c>
      <c r="G5" s="62">
        <v>-2.179111334745608E-3</v>
      </c>
      <c r="H5" s="64">
        <v>-0.43960486927152609</v>
      </c>
      <c r="K5" s="37" t="s">
        <v>107</v>
      </c>
      <c r="L5" s="62">
        <v>-2.179111334745608E-3</v>
      </c>
      <c r="M5" s="64">
        <v>-2</v>
      </c>
      <c r="P5" s="37" t="s">
        <v>107</v>
      </c>
      <c r="Q5" s="62">
        <v>-2.179111334745608E-3</v>
      </c>
      <c r="R5" s="64">
        <v>-2</v>
      </c>
    </row>
    <row r="6" spans="1:18">
      <c r="A6" s="37" t="s">
        <v>129</v>
      </c>
      <c r="B6" s="62">
        <v>3.2061137995684033E-3</v>
      </c>
      <c r="C6" s="64">
        <v>-8.2825175647229632E-2</v>
      </c>
      <c r="F6" s="37" t="s">
        <v>129</v>
      </c>
      <c r="G6" s="62">
        <v>3.2061137995684033E-3</v>
      </c>
      <c r="H6" s="64">
        <v>-2.8530203804007708E-2</v>
      </c>
      <c r="K6" s="37" t="s">
        <v>129</v>
      </c>
      <c r="L6" s="62">
        <v>3.2061137995684033E-3</v>
      </c>
      <c r="M6" s="64">
        <v>-8.6161129343529153E-2</v>
      </c>
      <c r="P6" s="37" t="s">
        <v>129</v>
      </c>
      <c r="Q6" s="62">
        <v>3.2061137995684033E-3</v>
      </c>
      <c r="R6" s="64">
        <v>-8.7837867454021709E-2</v>
      </c>
    </row>
    <row r="7" spans="1:18">
      <c r="A7" s="37" t="s">
        <v>110</v>
      </c>
      <c r="B7" s="62">
        <v>1.6590918261279002E-5</v>
      </c>
      <c r="C7" s="64">
        <v>-7.501694519971068E-2</v>
      </c>
      <c r="F7" s="37" t="s">
        <v>110</v>
      </c>
      <c r="G7" s="62">
        <v>1.6590918261279002E-5</v>
      </c>
      <c r="H7" s="64">
        <v>9.8582510781841728E-3</v>
      </c>
      <c r="K7" s="37" t="s">
        <v>110</v>
      </c>
      <c r="L7" s="62">
        <v>1.6590918261279002E-5</v>
      </c>
      <c r="M7" s="64">
        <v>-0.12088300326203705</v>
      </c>
      <c r="P7" s="37" t="s">
        <v>110</v>
      </c>
      <c r="Q7" s="62">
        <v>1.6590918261279002E-5</v>
      </c>
      <c r="R7" s="64">
        <v>-0.27266653770573163</v>
      </c>
    </row>
    <row r="8" spans="1:18">
      <c r="A8" s="37" t="s">
        <v>111</v>
      </c>
      <c r="B8" s="62">
        <v>1.9922484551896161E-2</v>
      </c>
      <c r="C8" s="64">
        <v>0.14240737515769775</v>
      </c>
      <c r="F8" s="37" t="s">
        <v>111</v>
      </c>
      <c r="G8" s="62">
        <v>1.9922484551896161E-2</v>
      </c>
      <c r="H8" s="64">
        <v>4.8786088069078151E-2</v>
      </c>
      <c r="K8" s="37" t="s">
        <v>111</v>
      </c>
      <c r="L8" s="62">
        <v>1.9922484551896161E-2</v>
      </c>
      <c r="M8" s="64">
        <v>0.1753087409108802</v>
      </c>
      <c r="P8" s="37" t="s">
        <v>111</v>
      </c>
      <c r="Q8" s="62">
        <v>1.9922484551896161E-2</v>
      </c>
      <c r="R8" s="64">
        <v>0.27347909008083016</v>
      </c>
    </row>
    <row r="9" spans="1:18">
      <c r="A9" s="37" t="s">
        <v>112</v>
      </c>
      <c r="B9" s="62">
        <v>4.1872316759451703E-2</v>
      </c>
      <c r="C9" s="64">
        <v>1.2235115944220172</v>
      </c>
      <c r="F9" s="37" t="s">
        <v>112</v>
      </c>
      <c r="G9" s="62">
        <v>4.1872316759451703E-2</v>
      </c>
      <c r="H9" s="64">
        <v>0.23382072096049622</v>
      </c>
      <c r="K9" s="37" t="s">
        <v>112</v>
      </c>
      <c r="L9" s="62">
        <v>4.1872316759451703E-2</v>
      </c>
      <c r="M9" s="64">
        <v>1.3932423737993731</v>
      </c>
      <c r="P9" s="37" t="s">
        <v>112</v>
      </c>
      <c r="Q9" s="62">
        <v>4.1872316759451703E-2</v>
      </c>
      <c r="R9" s="64">
        <v>1.8511655225426666</v>
      </c>
    </row>
    <row r="10" spans="1:18">
      <c r="A10" s="37" t="s">
        <v>113</v>
      </c>
      <c r="B10" s="62">
        <v>4.3521431989681182E-3</v>
      </c>
      <c r="C10" s="64">
        <v>0.33357100276222162</v>
      </c>
      <c r="F10" s="37" t="s">
        <v>113</v>
      </c>
      <c r="G10" s="62">
        <v>4.3521431989681182E-3</v>
      </c>
      <c r="H10" s="64">
        <v>-1.1711190291098955E-2</v>
      </c>
      <c r="K10" s="37" t="s">
        <v>113</v>
      </c>
      <c r="L10" s="62">
        <v>4.3521431989681182E-3</v>
      </c>
      <c r="M10" s="64">
        <v>0.39462682169238744</v>
      </c>
      <c r="P10" s="37" t="s">
        <v>113</v>
      </c>
      <c r="Q10" s="62">
        <v>4.3521431989681182E-3</v>
      </c>
      <c r="R10" s="64">
        <v>0.58144636309907394</v>
      </c>
    </row>
    <row r="11" spans="1:18">
      <c r="A11" s="37" t="s">
        <v>114</v>
      </c>
      <c r="B11" s="62">
        <v>-4.6500704701170738E-3</v>
      </c>
      <c r="C11" s="64">
        <v>-0.92236664793206224</v>
      </c>
      <c r="F11" s="37" t="s">
        <v>114</v>
      </c>
      <c r="G11" s="62">
        <v>-4.6500704701170738E-3</v>
      </c>
      <c r="H11" s="64">
        <v>-0.14113765864827749</v>
      </c>
      <c r="K11" s="37" t="s">
        <v>114</v>
      </c>
      <c r="L11" s="62">
        <v>-4.6500704701170738E-3</v>
      </c>
      <c r="M11" s="64">
        <v>-1.0421154465920877</v>
      </c>
      <c r="P11" s="37" t="s">
        <v>114</v>
      </c>
      <c r="Q11" s="62">
        <v>-4.6500704701170738E-3</v>
      </c>
      <c r="R11" s="64">
        <v>-1.3841308109297763</v>
      </c>
    </row>
    <row r="12" spans="1:18">
      <c r="A12" s="37" t="s">
        <v>116</v>
      </c>
      <c r="B12" s="62">
        <v>2.1240527279640105E-2</v>
      </c>
      <c r="C12" s="64">
        <v>1.1782152181690055</v>
      </c>
      <c r="F12" s="37" t="s">
        <v>116</v>
      </c>
      <c r="G12" s="62">
        <v>2.1240527279640105E-2</v>
      </c>
      <c r="H12" s="64">
        <v>0.23906173639125988</v>
      </c>
      <c r="K12" s="37" t="s">
        <v>116</v>
      </c>
      <c r="L12" s="62">
        <v>2.1240527279640105E-2</v>
      </c>
      <c r="M12" s="64">
        <v>1.2904013496780145</v>
      </c>
      <c r="P12" s="37" t="s">
        <v>116</v>
      </c>
      <c r="Q12" s="62">
        <v>2.1240527279640105E-2</v>
      </c>
      <c r="R12" s="64">
        <v>1.5472810788753388</v>
      </c>
    </row>
    <row r="13" spans="1:18">
      <c r="A13" s="37" t="s">
        <v>117</v>
      </c>
      <c r="B13" s="62">
        <v>-5.5687618909142271E-3</v>
      </c>
      <c r="C13" s="64">
        <v>-1.2096036487125723</v>
      </c>
      <c r="F13" s="37" t="s">
        <v>117</v>
      </c>
      <c r="G13" s="62">
        <v>-5.5687618909142271E-3</v>
      </c>
      <c r="H13" s="64">
        <v>-0.31442873403782046</v>
      </c>
      <c r="K13" s="37" t="s">
        <v>117</v>
      </c>
      <c r="L13" s="62">
        <v>-5.5687618909142271E-3</v>
      </c>
      <c r="M13" s="64">
        <v>-1.4139078681762154</v>
      </c>
      <c r="P13" s="37" t="s">
        <v>117</v>
      </c>
      <c r="Q13" s="62">
        <v>-5.5687618909142271E-3</v>
      </c>
      <c r="R13" s="64">
        <v>-1.9660517711818331</v>
      </c>
    </row>
    <row r="14" spans="1:18">
      <c r="A14" s="37" t="s">
        <v>36</v>
      </c>
      <c r="B14" s="62">
        <v>1.5390253792169598E-3</v>
      </c>
      <c r="C14" s="64">
        <v>0.52788770904675208</v>
      </c>
      <c r="F14" s="37" t="s">
        <v>36</v>
      </c>
      <c r="G14" s="62">
        <v>1.5390253792169598E-3</v>
      </c>
      <c r="H14" s="64">
        <v>5.1785941568017656E-2</v>
      </c>
      <c r="K14" s="37" t="s">
        <v>36</v>
      </c>
      <c r="L14" s="62">
        <v>1.5390253792169598E-3</v>
      </c>
      <c r="M14" s="64">
        <v>0.49592336906556928</v>
      </c>
      <c r="P14" s="37" t="s">
        <v>36</v>
      </c>
      <c r="Q14" s="62">
        <v>1.5390253792169598E-3</v>
      </c>
      <c r="R14" s="64">
        <v>0.36886850426622658</v>
      </c>
    </row>
    <row r="15" spans="1:18">
      <c r="A15" s="37" t="s">
        <v>118</v>
      </c>
      <c r="B15" s="62">
        <v>6.5731311023136561E-3</v>
      </c>
      <c r="C15" s="64">
        <v>9.1319563052490921E-2</v>
      </c>
      <c r="F15" s="37" t="s">
        <v>118</v>
      </c>
      <c r="G15" s="62">
        <v>6.5731311023136561E-3</v>
      </c>
      <c r="H15" s="64">
        <v>0.24343566433481487</v>
      </c>
      <c r="K15" s="37" t="s">
        <v>118</v>
      </c>
      <c r="L15" s="62">
        <v>6.5731311023136561E-3</v>
      </c>
      <c r="M15" s="64">
        <v>6.1568497725025175E-3</v>
      </c>
      <c r="P15" s="37" t="s">
        <v>118</v>
      </c>
      <c r="Q15" s="62">
        <v>6.5731311023136561E-3</v>
      </c>
      <c r="R15" s="64">
        <v>-0.23937077250056563</v>
      </c>
    </row>
    <row r="16" spans="1:18">
      <c r="A16" s="37" t="s">
        <v>119</v>
      </c>
      <c r="B16" s="62">
        <v>-9.7273706758208411E-3</v>
      </c>
      <c r="C16" s="64">
        <v>0.85052432844072601</v>
      </c>
      <c r="F16" s="37" t="s">
        <v>119</v>
      </c>
      <c r="G16" s="62">
        <v>-9.7273706758208411E-3</v>
      </c>
      <c r="H16" s="64">
        <v>0.20794242135964253</v>
      </c>
      <c r="K16" s="37" t="s">
        <v>119</v>
      </c>
      <c r="L16" s="62">
        <v>-9.7273706758208411E-3</v>
      </c>
      <c r="M16" s="64">
        <v>0.85255770996055102</v>
      </c>
      <c r="P16" s="37" t="s">
        <v>119</v>
      </c>
      <c r="Q16" s="62">
        <v>-9.7273706758208411E-3</v>
      </c>
      <c r="R16" s="64">
        <v>0.78963250869679269</v>
      </c>
    </row>
    <row r="17" spans="1:18">
      <c r="A17" s="37" t="s">
        <v>120</v>
      </c>
      <c r="B17" s="62">
        <v>8.6712521554110425E-3</v>
      </c>
      <c r="C17" s="64">
        <v>-1.0215055067228713E-2</v>
      </c>
      <c r="F17" s="37" t="s">
        <v>120</v>
      </c>
      <c r="G17" s="62">
        <v>8.6712521554110425E-3</v>
      </c>
      <c r="H17" s="64">
        <v>6.7772304394446814E-2</v>
      </c>
      <c r="K17" s="37" t="s">
        <v>120</v>
      </c>
      <c r="L17" s="62">
        <v>8.6712521554110425E-3</v>
      </c>
      <c r="M17" s="64">
        <v>-1.0447775426610545E-2</v>
      </c>
      <c r="P17" s="37" t="s">
        <v>120</v>
      </c>
      <c r="Q17" s="62">
        <v>8.6712521554110425E-3</v>
      </c>
      <c r="R17" s="64">
        <v>-1.1698357639437391E-2</v>
      </c>
    </row>
    <row r="18" spans="1:18">
      <c r="A18" s="37" t="s">
        <v>131</v>
      </c>
      <c r="B18" s="62">
        <v>-6.6877443737811627E-4</v>
      </c>
      <c r="C18" s="64">
        <v>-1.9204617653499885</v>
      </c>
      <c r="F18" s="37" t="s">
        <v>131</v>
      </c>
      <c r="G18" s="62">
        <v>-6.6877443737811627E-4</v>
      </c>
      <c r="H18" s="64">
        <v>-0.29156702538805995</v>
      </c>
      <c r="K18" s="37" t="s">
        <v>131</v>
      </c>
      <c r="L18" s="62">
        <v>-6.6877443737811627E-4</v>
      </c>
      <c r="M18" s="64">
        <v>-2</v>
      </c>
      <c r="P18" s="37" t="s">
        <v>131</v>
      </c>
      <c r="Q18" s="62">
        <v>-6.6877443737811627E-4</v>
      </c>
      <c r="R18" s="64">
        <v>-2</v>
      </c>
    </row>
    <row r="19" spans="1:18">
      <c r="A19" s="37" t="s">
        <v>122</v>
      </c>
      <c r="B19" s="62">
        <v>4.4608487957046028E-3</v>
      </c>
      <c r="C19" s="64">
        <v>0.15811682168768226</v>
      </c>
      <c r="F19" s="37" t="s">
        <v>122</v>
      </c>
      <c r="G19" s="62">
        <v>4.4608487957046028E-3</v>
      </c>
      <c r="H19" s="64">
        <v>8.7466541880015916E-2</v>
      </c>
      <c r="K19" s="37" t="s">
        <v>122</v>
      </c>
      <c r="L19" s="62">
        <v>4.4608487957046028E-3</v>
      </c>
      <c r="M19" s="64">
        <v>0.17311905093411484</v>
      </c>
      <c r="P19" s="37" t="s">
        <v>122</v>
      </c>
      <c r="Q19" s="62">
        <v>4.4608487957046028E-3</v>
      </c>
      <c r="R19" s="64">
        <v>0.2196790981815113</v>
      </c>
    </row>
    <row r="20" spans="1:18">
      <c r="A20" s="37" t="s">
        <v>124</v>
      </c>
      <c r="B20" s="63">
        <v>8.659258405648896E-3</v>
      </c>
      <c r="C20" s="64">
        <v>-0.2932208885100136</v>
      </c>
      <c r="F20" s="37" t="s">
        <v>124</v>
      </c>
      <c r="G20" s="63">
        <v>8.659258405648896E-3</v>
      </c>
      <c r="H20" s="64">
        <v>-8.1961197233952426E-2</v>
      </c>
      <c r="K20" s="37" t="s">
        <v>124</v>
      </c>
      <c r="L20" s="63">
        <v>8.659258405648896E-3</v>
      </c>
      <c r="M20" s="64">
        <v>-0.31698170745119697</v>
      </c>
      <c r="P20" s="37" t="s">
        <v>124</v>
      </c>
      <c r="Q20" s="63">
        <v>8.659258405648896E-3</v>
      </c>
      <c r="R20" s="64">
        <v>-0.37268438697838085</v>
      </c>
    </row>
    <row r="21" spans="1:18" ht="15" thickBot="1">
      <c r="A21" s="37" t="s">
        <v>126</v>
      </c>
      <c r="B21" s="63">
        <v>7.0493825171110682E-3</v>
      </c>
      <c r="C21" s="64">
        <v>1.2082806638250738</v>
      </c>
      <c r="F21" s="37" t="s">
        <v>126</v>
      </c>
      <c r="G21" s="63">
        <v>7.0493825171110682E-3</v>
      </c>
      <c r="H21" s="64">
        <v>0.78702849161036803</v>
      </c>
      <c r="K21" s="37" t="s">
        <v>126</v>
      </c>
      <c r="L21" s="63">
        <v>7.0493825171110682E-3</v>
      </c>
      <c r="M21" s="64">
        <v>1.2506270203125727</v>
      </c>
      <c r="P21" s="37" t="s">
        <v>126</v>
      </c>
      <c r="Q21" s="63">
        <v>7.0493825171110682E-3</v>
      </c>
      <c r="R21" s="64">
        <v>1.2759319340667097</v>
      </c>
    </row>
    <row r="22" spans="1:18" ht="15" thickBot="1">
      <c r="A22" s="57" t="s">
        <v>86</v>
      </c>
      <c r="B22" s="55"/>
      <c r="C22" s="56">
        <f>SUM(C2:C21)</f>
        <v>0.99999999967622033</v>
      </c>
      <c r="F22" s="57" t="s">
        <v>86</v>
      </c>
      <c r="G22" s="55"/>
      <c r="H22" s="56">
        <f>SUM(H2:H21)</f>
        <v>0.9999999999960556</v>
      </c>
      <c r="K22" s="57" t="s">
        <v>86</v>
      </c>
      <c r="L22" s="63"/>
      <c r="M22" s="56">
        <f>SUM(M2:M21)</f>
        <v>1.0000000000016143</v>
      </c>
      <c r="P22" s="57" t="s">
        <v>86</v>
      </c>
      <c r="Q22" s="55"/>
      <c r="R22" s="56">
        <f>SUM(R2:R21)</f>
        <v>0.99999999999706946</v>
      </c>
    </row>
    <row r="23" spans="1:18" ht="15" thickTop="1"/>
    <row r="24" spans="1:18" ht="15.5">
      <c r="A24" s="177" t="s">
        <v>44</v>
      </c>
      <c r="B24" s="177"/>
      <c r="C24" s="58">
        <f>8.74%/12</f>
        <v>7.2833333333333335E-3</v>
      </c>
      <c r="F24" s="178" t="s">
        <v>44</v>
      </c>
      <c r="G24" s="179"/>
      <c r="H24" s="58">
        <f>8.74%/12</f>
        <v>7.2833333333333335E-3</v>
      </c>
      <c r="K24" s="178" t="s">
        <v>44</v>
      </c>
      <c r="L24" s="179"/>
      <c r="M24" s="58">
        <f>8.74%/12</f>
        <v>7.2833333333333335E-3</v>
      </c>
      <c r="P24" s="178" t="s">
        <v>44</v>
      </c>
      <c r="Q24" s="179"/>
      <c r="R24" s="58">
        <f>8.74%/12</f>
        <v>7.2833333333333335E-3</v>
      </c>
    </row>
    <row r="25" spans="1:18" ht="15.5">
      <c r="A25" s="177" t="s">
        <v>66</v>
      </c>
      <c r="B25" s="177"/>
      <c r="C25" s="53" cm="1">
        <f t="array" ref="C25">MMULT(TRANSPOSE(C2:C21),B2:B21)</f>
        <v>0.13013209659909272</v>
      </c>
      <c r="F25" s="178" t="s">
        <v>66</v>
      </c>
      <c r="G25" s="179"/>
      <c r="H25" s="53" cm="1">
        <f t="array" ref="H25">MMULT(TRANSPOSE(H2:H21),G2:G21)</f>
        <v>3.0497867944708136E-2</v>
      </c>
      <c r="K25" s="178" t="s">
        <v>66</v>
      </c>
      <c r="L25" s="179"/>
      <c r="M25" s="53" cm="1">
        <f t="array" ref="M25">MMULT(TRANSPOSE(M2:M21),L2:L21)</f>
        <v>0.14597881879633642</v>
      </c>
      <c r="P25" s="178" t="s">
        <v>66</v>
      </c>
      <c r="Q25" s="179"/>
      <c r="R25" s="53" cm="1">
        <f t="array" ref="R25">MMULT(TRANSPOSE(R2:R21),Q2:Q21)</f>
        <v>0.18907757907760211</v>
      </c>
    </row>
    <row r="26" spans="1:18" ht="15.5">
      <c r="A26" s="177" t="s">
        <v>45</v>
      </c>
      <c r="B26" s="177"/>
      <c r="C26" s="53" cm="1">
        <f t="array" ref="C26">MMULT(TRANSPOSE(C2:C21),MMULT(Covariance!$B$2:$U$21,C2:C21))</f>
        <v>1.7584656672462947E-2</v>
      </c>
      <c r="F26" s="178" t="s">
        <v>45</v>
      </c>
      <c r="G26" s="179"/>
      <c r="H26" s="53" cm="1">
        <f t="array" ref="H26">MMULT(TRANSPOSE(H2:H21),MMULT(Covariance!$B$2:$U$21,H2:H21))</f>
        <v>9.0000249941409559E-4</v>
      </c>
      <c r="K26" s="178" t="s">
        <v>45</v>
      </c>
      <c r="L26" s="179"/>
      <c r="M26" s="53" cm="1">
        <f t="array" ref="M26">MMULT(TRANSPOSE(M2:M21),MMULT(Covariance!$B$2:$U$21,M2:M21))</f>
        <v>2.2500000777463714E-2</v>
      </c>
      <c r="P26" s="178" t="s">
        <v>45</v>
      </c>
      <c r="Q26" s="179"/>
      <c r="R26" s="53" cm="1">
        <f t="array" ref="R26">MMULT(TRANSPOSE(R2:R21),MMULT(Covariance!$B$2:$U$21,R2:R21))</f>
        <v>4.0000000529867283E-2</v>
      </c>
    </row>
    <row r="27" spans="1:18" ht="15.5">
      <c r="A27" s="177" t="s">
        <v>46</v>
      </c>
      <c r="B27" s="177"/>
      <c r="C27" s="53">
        <f>SQRT(C26)</f>
        <v>0.13260715166408993</v>
      </c>
      <c r="F27" s="178" t="s">
        <v>46</v>
      </c>
      <c r="G27" s="179"/>
      <c r="H27" s="53">
        <f>SQRT(H26)</f>
        <v>3.0000041656872672E-2</v>
      </c>
      <c r="K27" s="178" t="s">
        <v>46</v>
      </c>
      <c r="L27" s="179"/>
      <c r="M27" s="53">
        <f>SQRT(M26)</f>
        <v>0.15000000259154569</v>
      </c>
      <c r="P27" s="178" t="s">
        <v>46</v>
      </c>
      <c r="Q27" s="179"/>
      <c r="R27" s="53">
        <f>SQRT(R26)</f>
        <v>0.20000000132466819</v>
      </c>
    </row>
    <row r="28" spans="1:18" ht="15.5">
      <c r="A28" s="177" t="s">
        <v>47</v>
      </c>
      <c r="B28" s="177"/>
      <c r="C28" s="54">
        <f>(C25-C24)/C27</f>
        <v>0.92641129625459617</v>
      </c>
      <c r="F28" s="178" t="s">
        <v>47</v>
      </c>
      <c r="G28" s="179"/>
      <c r="H28" s="54">
        <f>(H25-H24)/H27</f>
        <v>0.77381674588630489</v>
      </c>
      <c r="K28" s="178" t="s">
        <v>47</v>
      </c>
      <c r="L28" s="179"/>
      <c r="M28" s="54">
        <f>(M25-M24)/M27</f>
        <v>0.92463655377843468</v>
      </c>
      <c r="P28" s="178" t="s">
        <v>47</v>
      </c>
      <c r="Q28" s="179"/>
      <c r="R28" s="54">
        <f>(R25-R24)/R27</f>
        <v>0.90897122270091757</v>
      </c>
    </row>
    <row r="32" spans="1:18" ht="15.5">
      <c r="A32" s="60" t="s">
        <v>132</v>
      </c>
      <c r="B32" s="60" t="s">
        <v>42</v>
      </c>
    </row>
    <row r="33" spans="1:2" ht="15.5">
      <c r="A33" s="59">
        <f>H27</f>
        <v>3.0000041656872672E-2</v>
      </c>
      <c r="B33" s="61">
        <f>H25</f>
        <v>3.0497867944708136E-2</v>
      </c>
    </row>
    <row r="34" spans="1:2" ht="15.5">
      <c r="A34" s="59">
        <f>C27</f>
        <v>0.13260715166408993</v>
      </c>
      <c r="B34" s="61">
        <f>C25</f>
        <v>0.13013209659909272</v>
      </c>
    </row>
    <row r="35" spans="1:2" ht="15.5">
      <c r="A35" s="59">
        <f>M27</f>
        <v>0.15000000259154569</v>
      </c>
      <c r="B35" s="61">
        <f>M25</f>
        <v>0.14597881879633642</v>
      </c>
    </row>
    <row r="36" spans="1:2" ht="15.5">
      <c r="A36" s="59">
        <f>R27</f>
        <v>0.20000000132466819</v>
      </c>
      <c r="B36" s="61">
        <f>R25</f>
        <v>0.18907757907760211</v>
      </c>
    </row>
    <row r="37" spans="1:2" ht="15.5">
      <c r="A37" s="59"/>
      <c r="B37" s="61"/>
    </row>
    <row r="38" spans="1:2" ht="15.5">
      <c r="A38" s="59"/>
      <c r="B38" s="61"/>
    </row>
    <row r="39" spans="1:2" ht="15.5">
      <c r="A39" s="59">
        <v>0</v>
      </c>
      <c r="B39" s="61">
        <f>C24</f>
        <v>7.2833333333333335E-3</v>
      </c>
    </row>
    <row r="40" spans="1:2" ht="15.5">
      <c r="A40" s="59">
        <f>C27</f>
        <v>0.13260715166408993</v>
      </c>
      <c r="B40" s="61">
        <f>C25</f>
        <v>0.13013209659909272</v>
      </c>
    </row>
    <row r="41" spans="1:2">
      <c r="A41" s="2"/>
      <c r="B41" s="2"/>
    </row>
  </sheetData>
  <mergeCells count="20">
    <mergeCell ref="F24:G24"/>
    <mergeCell ref="F25:G25"/>
    <mergeCell ref="F26:G26"/>
    <mergeCell ref="F27:G27"/>
    <mergeCell ref="F28:G28"/>
    <mergeCell ref="A24:B24"/>
    <mergeCell ref="A28:B28"/>
    <mergeCell ref="A27:B27"/>
    <mergeCell ref="A26:B26"/>
    <mergeCell ref="A25:B25"/>
    <mergeCell ref="P24:Q24"/>
    <mergeCell ref="P25:Q25"/>
    <mergeCell ref="P26:Q26"/>
    <mergeCell ref="P27:Q27"/>
    <mergeCell ref="P28:Q28"/>
    <mergeCell ref="K24:L24"/>
    <mergeCell ref="K25:L25"/>
    <mergeCell ref="K26:L26"/>
    <mergeCell ref="K27:L27"/>
    <mergeCell ref="K28:L28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24B8-E6F1-4DCE-8B44-1A64A6DC3819}">
  <dimension ref="A1:R41"/>
  <sheetViews>
    <sheetView zoomScale="59" zoomScaleNormal="77" workbookViewId="0">
      <selection activeCell="P1" activeCellId="3" sqref="A1:C1 F1:H1 K1:M1 P1:R1"/>
    </sheetView>
  </sheetViews>
  <sheetFormatPr defaultColWidth="8.81640625" defaultRowHeight="14.5"/>
  <cols>
    <col min="1" max="1" width="19.1796875" customWidth="1"/>
    <col min="3" max="3" width="9.1796875" customWidth="1"/>
    <col min="6" max="6" width="19.1796875" bestFit="1" customWidth="1"/>
    <col min="11" max="11" width="19.1796875" bestFit="1" customWidth="1"/>
    <col min="16" max="16" width="19.1796875" bestFit="1" customWidth="1"/>
    <col min="18" max="18" width="9.36328125" bestFit="1" customWidth="1"/>
  </cols>
  <sheetData>
    <row r="1" spans="1:18" ht="15.5">
      <c r="A1" s="129" t="s">
        <v>41</v>
      </c>
      <c r="B1" s="129" t="s">
        <v>42</v>
      </c>
      <c r="C1" s="129" t="s">
        <v>43</v>
      </c>
      <c r="F1" s="130" t="s">
        <v>41</v>
      </c>
      <c r="G1" s="130" t="s">
        <v>42</v>
      </c>
      <c r="H1" s="130" t="s">
        <v>43</v>
      </c>
      <c r="K1" s="130" t="s">
        <v>41</v>
      </c>
      <c r="L1" s="130" t="s">
        <v>42</v>
      </c>
      <c r="M1" s="130" t="s">
        <v>43</v>
      </c>
      <c r="P1" s="130" t="s">
        <v>41</v>
      </c>
      <c r="Q1" s="130" t="s">
        <v>42</v>
      </c>
      <c r="R1" s="130" t="s">
        <v>43</v>
      </c>
    </row>
    <row r="2" spans="1:18">
      <c r="A2" s="37" t="s">
        <v>127</v>
      </c>
      <c r="B2" s="62">
        <v>2.7526427991102449E-2</v>
      </c>
      <c r="C2" s="64">
        <v>0.24449435289891172</v>
      </c>
      <c r="F2" s="37" t="s">
        <v>127</v>
      </c>
      <c r="G2" s="62">
        <v>2.7526427991102449E-2</v>
      </c>
      <c r="H2" s="64">
        <v>0</v>
      </c>
      <c r="K2" s="37" t="s">
        <v>127</v>
      </c>
      <c r="L2" s="62">
        <v>2.7526427991102449E-2</v>
      </c>
      <c r="M2" s="64">
        <v>0.24552161294540639</v>
      </c>
      <c r="P2" s="37" t="s">
        <v>127</v>
      </c>
      <c r="Q2" s="62">
        <v>2.7526427991102449E-2</v>
      </c>
      <c r="R2" s="64">
        <v>0.23890527075326021</v>
      </c>
    </row>
    <row r="3" spans="1:18">
      <c r="A3" s="37" t="s">
        <v>105</v>
      </c>
      <c r="B3" s="62">
        <v>1.2711610928648181E-2</v>
      </c>
      <c r="C3" s="64">
        <v>0</v>
      </c>
      <c r="F3" s="37" t="s">
        <v>105</v>
      </c>
      <c r="G3" s="62">
        <v>1.2711610928648181E-2</v>
      </c>
      <c r="H3" s="64">
        <v>4.7884328948521626E-2</v>
      </c>
      <c r="K3" s="37" t="s">
        <v>105</v>
      </c>
      <c r="L3" s="62">
        <v>1.2711610928648181E-2</v>
      </c>
      <c r="M3" s="64">
        <v>0</v>
      </c>
      <c r="P3" s="37" t="s">
        <v>105</v>
      </c>
      <c r="Q3" s="62">
        <v>1.2711610928648181E-2</v>
      </c>
      <c r="R3" s="64">
        <v>0</v>
      </c>
    </row>
    <row r="4" spans="1:18">
      <c r="A4" s="37" t="s">
        <v>106</v>
      </c>
      <c r="B4" s="62">
        <v>1.2891114232266434E-2</v>
      </c>
      <c r="C4" s="64">
        <v>0</v>
      </c>
      <c r="F4" s="37" t="s">
        <v>106</v>
      </c>
      <c r="G4" s="62">
        <v>1.2891114232266434E-2</v>
      </c>
      <c r="H4" s="64">
        <v>0</v>
      </c>
      <c r="K4" s="37" t="s">
        <v>106</v>
      </c>
      <c r="L4" s="62">
        <v>1.2891114232266434E-2</v>
      </c>
      <c r="M4" s="64">
        <v>0</v>
      </c>
      <c r="P4" s="37" t="s">
        <v>106</v>
      </c>
      <c r="Q4" s="62">
        <v>1.2891114232266434E-2</v>
      </c>
      <c r="R4" s="64">
        <v>0</v>
      </c>
    </row>
    <row r="5" spans="1:18">
      <c r="A5" s="37" t="s">
        <v>107</v>
      </c>
      <c r="B5" s="62">
        <v>-2.179111334745608E-3</v>
      </c>
      <c r="C5" s="64">
        <v>0</v>
      </c>
      <c r="F5" s="37" t="s">
        <v>107</v>
      </c>
      <c r="G5" s="62">
        <v>-2.179111334745608E-3</v>
      </c>
      <c r="H5" s="64">
        <v>0</v>
      </c>
      <c r="K5" s="37" t="s">
        <v>107</v>
      </c>
      <c r="L5" s="62">
        <v>-2.179111334745608E-3</v>
      </c>
      <c r="M5" s="64">
        <v>0</v>
      </c>
      <c r="P5" s="37" t="s">
        <v>107</v>
      </c>
      <c r="Q5" s="62">
        <v>-2.179111334745608E-3</v>
      </c>
      <c r="R5" s="64">
        <v>0</v>
      </c>
    </row>
    <row r="6" spans="1:18">
      <c r="A6" s="37" t="s">
        <v>129</v>
      </c>
      <c r="B6" s="62">
        <v>3.2061137995684033E-3</v>
      </c>
      <c r="C6" s="64">
        <v>0</v>
      </c>
      <c r="F6" s="37" t="s">
        <v>129</v>
      </c>
      <c r="G6" s="62">
        <v>3.2061137995684033E-3</v>
      </c>
      <c r="H6" s="64">
        <v>0</v>
      </c>
      <c r="K6" s="37" t="s">
        <v>129</v>
      </c>
      <c r="L6" s="62">
        <v>3.2061137995684033E-3</v>
      </c>
      <c r="M6" s="64">
        <v>0</v>
      </c>
      <c r="P6" s="37" t="s">
        <v>129</v>
      </c>
      <c r="Q6" s="62">
        <v>3.2061137995684033E-3</v>
      </c>
      <c r="R6" s="64">
        <v>0</v>
      </c>
    </row>
    <row r="7" spans="1:18">
      <c r="A7" s="37" t="s">
        <v>110</v>
      </c>
      <c r="B7" s="62">
        <v>1.6590918261279002E-5</v>
      </c>
      <c r="C7" s="64">
        <v>0</v>
      </c>
      <c r="F7" s="37" t="s">
        <v>110</v>
      </c>
      <c r="G7" s="62">
        <v>1.6590918261279002E-5</v>
      </c>
      <c r="H7" s="64">
        <v>0</v>
      </c>
      <c r="K7" s="37" t="s">
        <v>110</v>
      </c>
      <c r="L7" s="62">
        <v>1.6590918261279002E-5</v>
      </c>
      <c r="M7" s="64">
        <v>0</v>
      </c>
      <c r="P7" s="37" t="s">
        <v>110</v>
      </c>
      <c r="Q7" s="62">
        <v>1.6590918261279002E-5</v>
      </c>
      <c r="R7" s="64">
        <v>0</v>
      </c>
    </row>
    <row r="8" spans="1:18">
      <c r="A8" s="37" t="s">
        <v>111</v>
      </c>
      <c r="B8" s="62">
        <v>1.9922484551896161E-2</v>
      </c>
      <c r="C8" s="64">
        <v>6.3105008505941806E-2</v>
      </c>
      <c r="F8" s="37" t="s">
        <v>111</v>
      </c>
      <c r="G8" s="62">
        <v>1.9922484551896161E-2</v>
      </c>
      <c r="H8" s="64">
        <v>6.175813043465074E-2</v>
      </c>
      <c r="K8" s="37" t="s">
        <v>111</v>
      </c>
      <c r="L8" s="62">
        <v>1.9922484551896161E-2</v>
      </c>
      <c r="M8" s="64">
        <v>2.9659630462628393E-4</v>
      </c>
      <c r="P8" s="37" t="s">
        <v>111</v>
      </c>
      <c r="Q8" s="62">
        <v>1.9922484551896161E-2</v>
      </c>
      <c r="R8" s="64">
        <v>0</v>
      </c>
    </row>
    <row r="9" spans="1:18">
      <c r="A9" s="37" t="s">
        <v>112</v>
      </c>
      <c r="B9" s="62">
        <v>4.1872316759451703E-2</v>
      </c>
      <c r="C9" s="64">
        <v>0.41045447651507599</v>
      </c>
      <c r="F9" s="37" t="s">
        <v>112</v>
      </c>
      <c r="G9" s="62">
        <v>4.1872316759451703E-2</v>
      </c>
      <c r="H9" s="64">
        <v>0.10350228268105137</v>
      </c>
      <c r="K9" s="37" t="s">
        <v>112</v>
      </c>
      <c r="L9" s="62">
        <v>4.1872316759451703E-2</v>
      </c>
      <c r="M9" s="64">
        <v>0.55129031251201821</v>
      </c>
      <c r="P9" s="37" t="s">
        <v>112</v>
      </c>
      <c r="Q9" s="62">
        <v>4.1872316759451703E-2</v>
      </c>
      <c r="R9" s="64">
        <v>0.67150571193097719</v>
      </c>
    </row>
    <row r="10" spans="1:18">
      <c r="A10" s="37" t="s">
        <v>113</v>
      </c>
      <c r="B10" s="62">
        <v>4.3521431989681182E-3</v>
      </c>
      <c r="C10" s="64">
        <v>0</v>
      </c>
      <c r="F10" s="37" t="s">
        <v>113</v>
      </c>
      <c r="G10" s="62">
        <v>4.3521431989681182E-3</v>
      </c>
      <c r="H10" s="64">
        <v>0</v>
      </c>
      <c r="K10" s="37" t="s">
        <v>113</v>
      </c>
      <c r="L10" s="62">
        <v>4.3521431989681182E-3</v>
      </c>
      <c r="M10" s="64">
        <v>0</v>
      </c>
      <c r="P10" s="37" t="s">
        <v>113</v>
      </c>
      <c r="Q10" s="62">
        <v>4.3521431989681182E-3</v>
      </c>
      <c r="R10" s="64">
        <v>0</v>
      </c>
    </row>
    <row r="11" spans="1:18">
      <c r="A11" s="37" t="s">
        <v>114</v>
      </c>
      <c r="B11" s="62">
        <v>-4.6500704701170738E-3</v>
      </c>
      <c r="C11" s="64">
        <v>0</v>
      </c>
      <c r="F11" s="37" t="s">
        <v>114</v>
      </c>
      <c r="G11" s="62">
        <v>-4.6500704701170738E-3</v>
      </c>
      <c r="H11" s="64">
        <v>0</v>
      </c>
      <c r="K11" s="37" t="s">
        <v>114</v>
      </c>
      <c r="L11" s="62">
        <v>-4.6500704701170738E-3</v>
      </c>
      <c r="M11" s="64">
        <v>0</v>
      </c>
      <c r="P11" s="37" t="s">
        <v>114</v>
      </c>
      <c r="Q11" s="62">
        <v>-4.6500704701170738E-3</v>
      </c>
      <c r="R11" s="64">
        <v>0</v>
      </c>
    </row>
    <row r="12" spans="1:18">
      <c r="A12" s="37" t="s">
        <v>116</v>
      </c>
      <c r="B12" s="62">
        <v>2.1240527279640105E-2</v>
      </c>
      <c r="C12" s="64">
        <v>0.28194517093391663</v>
      </c>
      <c r="F12" s="37" t="s">
        <v>116</v>
      </c>
      <c r="G12" s="62">
        <v>2.1240527279640105E-2</v>
      </c>
      <c r="H12" s="64">
        <v>9.0471815950817325E-2</v>
      </c>
      <c r="K12" s="37" t="s">
        <v>116</v>
      </c>
      <c r="L12" s="62">
        <v>2.1240527279640105E-2</v>
      </c>
      <c r="M12" s="64">
        <v>0.20289147823797141</v>
      </c>
      <c r="P12" s="37" t="s">
        <v>116</v>
      </c>
      <c r="Q12" s="62">
        <v>2.1240527279640105E-2</v>
      </c>
      <c r="R12" s="64">
        <v>8.9589017312784569E-2</v>
      </c>
    </row>
    <row r="13" spans="1:18">
      <c r="A13" s="37" t="s">
        <v>117</v>
      </c>
      <c r="B13" s="62">
        <v>-5.5687618909142271E-3</v>
      </c>
      <c r="C13" s="64">
        <v>0</v>
      </c>
      <c r="F13" s="37" t="s">
        <v>117</v>
      </c>
      <c r="G13" s="62">
        <v>-5.5687618909142271E-3</v>
      </c>
      <c r="H13" s="64">
        <v>0</v>
      </c>
      <c r="K13" s="37" t="s">
        <v>117</v>
      </c>
      <c r="L13" s="62">
        <v>-5.5687618909142271E-3</v>
      </c>
      <c r="M13" s="64">
        <v>0</v>
      </c>
      <c r="P13" s="37" t="s">
        <v>117</v>
      </c>
      <c r="Q13" s="62">
        <v>-5.5687618909142271E-3</v>
      </c>
      <c r="R13" s="64">
        <v>0</v>
      </c>
    </row>
    <row r="14" spans="1:18">
      <c r="A14" s="37" t="s">
        <v>36</v>
      </c>
      <c r="B14" s="62">
        <v>1.5390253792169598E-3</v>
      </c>
      <c r="C14" s="64">
        <v>0</v>
      </c>
      <c r="F14" s="37" t="s">
        <v>36</v>
      </c>
      <c r="G14" s="62">
        <v>1.5390253792169598E-3</v>
      </c>
      <c r="H14" s="64">
        <v>0</v>
      </c>
      <c r="K14" s="37" t="s">
        <v>36</v>
      </c>
      <c r="L14" s="62">
        <v>1.5390253792169598E-3</v>
      </c>
      <c r="M14" s="64">
        <v>0</v>
      </c>
      <c r="P14" s="37" t="s">
        <v>36</v>
      </c>
      <c r="Q14" s="62">
        <v>1.5390253792169598E-3</v>
      </c>
      <c r="R14" s="64">
        <v>0</v>
      </c>
    </row>
    <row r="15" spans="1:18">
      <c r="A15" s="37" t="s">
        <v>118</v>
      </c>
      <c r="B15" s="62">
        <v>6.5731311023136561E-3</v>
      </c>
      <c r="C15" s="64">
        <v>0</v>
      </c>
      <c r="F15" s="37" t="s">
        <v>118</v>
      </c>
      <c r="G15" s="62">
        <v>6.5731311023136561E-3</v>
      </c>
      <c r="H15" s="64">
        <v>0.11252457442966989</v>
      </c>
      <c r="K15" s="37" t="s">
        <v>118</v>
      </c>
      <c r="L15" s="62">
        <v>6.5731311023136561E-3</v>
      </c>
      <c r="M15" s="64">
        <v>0</v>
      </c>
      <c r="P15" s="37" t="s">
        <v>118</v>
      </c>
      <c r="Q15" s="62">
        <v>6.5731311023136561E-3</v>
      </c>
      <c r="R15" s="64">
        <v>0</v>
      </c>
    </row>
    <row r="16" spans="1:18">
      <c r="A16" s="37" t="s">
        <v>119</v>
      </c>
      <c r="B16" s="62">
        <v>-9.7273706758208411E-3</v>
      </c>
      <c r="C16" s="64">
        <v>0</v>
      </c>
      <c r="F16" s="37" t="s">
        <v>119</v>
      </c>
      <c r="G16" s="62">
        <v>-9.7273706758208411E-3</v>
      </c>
      <c r="H16" s="64">
        <v>0</v>
      </c>
      <c r="K16" s="37" t="s">
        <v>119</v>
      </c>
      <c r="L16" s="62">
        <v>-9.7273706758208411E-3</v>
      </c>
      <c r="M16" s="64">
        <v>0</v>
      </c>
      <c r="P16" s="37" t="s">
        <v>119</v>
      </c>
      <c r="Q16" s="62">
        <v>-9.7273706758208411E-3</v>
      </c>
      <c r="R16" s="64">
        <v>0</v>
      </c>
    </row>
    <row r="17" spans="1:18">
      <c r="A17" s="37" t="s">
        <v>120</v>
      </c>
      <c r="B17" s="62">
        <v>8.6712521554110425E-3</v>
      </c>
      <c r="C17" s="64">
        <v>0</v>
      </c>
      <c r="F17" s="37" t="s">
        <v>120</v>
      </c>
      <c r="G17" s="62">
        <v>8.6712521554110425E-3</v>
      </c>
      <c r="H17" s="64">
        <v>0.2455862434355946</v>
      </c>
      <c r="K17" s="37" t="s">
        <v>120</v>
      </c>
      <c r="L17" s="62">
        <v>8.6712521554110425E-3</v>
      </c>
      <c r="M17" s="64">
        <v>0</v>
      </c>
      <c r="P17" s="37" t="s">
        <v>120</v>
      </c>
      <c r="Q17" s="62">
        <v>8.6712521554110425E-3</v>
      </c>
      <c r="R17" s="64">
        <v>0</v>
      </c>
    </row>
    <row r="18" spans="1:18">
      <c r="A18" s="37" t="s">
        <v>131</v>
      </c>
      <c r="B18" s="62">
        <v>-6.6877443737811627E-4</v>
      </c>
      <c r="C18" s="64">
        <v>0</v>
      </c>
      <c r="F18" s="37" t="s">
        <v>131</v>
      </c>
      <c r="G18" s="62">
        <v>-6.6877443737811627E-4</v>
      </c>
      <c r="H18" s="64">
        <v>9.8401641344076415E-4</v>
      </c>
      <c r="K18" s="37" t="s">
        <v>131</v>
      </c>
      <c r="L18" s="62">
        <v>-6.6877443737811627E-4</v>
      </c>
      <c r="M18" s="64">
        <v>0</v>
      </c>
      <c r="P18" s="37" t="s">
        <v>131</v>
      </c>
      <c r="Q18" s="62">
        <v>-6.6877443737811627E-4</v>
      </c>
      <c r="R18" s="64">
        <v>0</v>
      </c>
    </row>
    <row r="19" spans="1:18">
      <c r="A19" s="37" t="s">
        <v>122</v>
      </c>
      <c r="B19" s="62">
        <v>4.4608487957046028E-3</v>
      </c>
      <c r="C19" s="64">
        <v>0</v>
      </c>
      <c r="F19" s="37" t="s">
        <v>122</v>
      </c>
      <c r="G19" s="62">
        <v>4.4608487957046028E-3</v>
      </c>
      <c r="H19" s="64">
        <v>0</v>
      </c>
      <c r="K19" s="37" t="s">
        <v>122</v>
      </c>
      <c r="L19" s="62">
        <v>4.4608487957046028E-3</v>
      </c>
      <c r="M19" s="64">
        <v>0</v>
      </c>
      <c r="P19" s="37" t="s">
        <v>122</v>
      </c>
      <c r="Q19" s="62">
        <v>4.4608487957046028E-3</v>
      </c>
      <c r="R19" s="64">
        <v>0</v>
      </c>
    </row>
    <row r="20" spans="1:18">
      <c r="A20" s="37" t="s">
        <v>124</v>
      </c>
      <c r="B20" s="63">
        <v>8.659258405648896E-3</v>
      </c>
      <c r="C20" s="64">
        <v>0</v>
      </c>
      <c r="F20" s="37" t="s">
        <v>124</v>
      </c>
      <c r="G20" s="63">
        <v>8.659258405648896E-3</v>
      </c>
      <c r="H20" s="64">
        <v>0</v>
      </c>
      <c r="K20" s="37" t="s">
        <v>124</v>
      </c>
      <c r="L20" s="63">
        <v>8.659258405648896E-3</v>
      </c>
      <c r="M20" s="64">
        <v>0</v>
      </c>
      <c r="P20" s="37" t="s">
        <v>124</v>
      </c>
      <c r="Q20" s="63">
        <v>8.659258405648896E-3</v>
      </c>
      <c r="R20" s="64">
        <v>0</v>
      </c>
    </row>
    <row r="21" spans="1:18" ht="15" thickBot="1">
      <c r="A21" s="37" t="s">
        <v>126</v>
      </c>
      <c r="B21" s="63">
        <v>7.0493825171110682E-3</v>
      </c>
      <c r="C21" s="64">
        <v>0</v>
      </c>
      <c r="F21" s="37" t="s">
        <v>126</v>
      </c>
      <c r="G21" s="63">
        <v>7.0493825171110682E-3</v>
      </c>
      <c r="H21" s="64">
        <v>0.33728860770576541</v>
      </c>
      <c r="K21" s="37" t="s">
        <v>126</v>
      </c>
      <c r="L21" s="63">
        <v>7.0493825171110682E-3</v>
      </c>
      <c r="M21" s="64">
        <v>0</v>
      </c>
      <c r="P21" s="37" t="s">
        <v>126</v>
      </c>
      <c r="Q21" s="63">
        <v>7.0493825171110682E-3</v>
      </c>
      <c r="R21" s="64">
        <v>0</v>
      </c>
    </row>
    <row r="22" spans="1:18" ht="15" thickBot="1">
      <c r="A22" s="57" t="s">
        <v>86</v>
      </c>
      <c r="B22" s="63"/>
      <c r="C22" s="65">
        <f>SUM(C2:C21)</f>
        <v>0.99999900885384618</v>
      </c>
      <c r="F22" s="57" t="s">
        <v>86</v>
      </c>
      <c r="G22" s="55"/>
      <c r="H22" s="56">
        <f>SUM(H2:H21)</f>
        <v>0.99999999999951172</v>
      </c>
      <c r="K22" s="57" t="s">
        <v>86</v>
      </c>
      <c r="L22" s="55"/>
      <c r="M22" s="56">
        <f>SUM(M2:M21)</f>
        <v>1.0000000000000222</v>
      </c>
      <c r="P22" s="57" t="s">
        <v>86</v>
      </c>
      <c r="Q22" s="55"/>
      <c r="R22" s="56">
        <f>SUM(R2:R21)</f>
        <v>0.99999999999702194</v>
      </c>
    </row>
    <row r="23" spans="1:18" ht="15" thickTop="1"/>
    <row r="24" spans="1:18" ht="15.5">
      <c r="A24" s="177" t="s">
        <v>44</v>
      </c>
      <c r="B24" s="177"/>
      <c r="C24" s="58">
        <f>8.74%/12</f>
        <v>7.2833333333333335E-3</v>
      </c>
      <c r="F24" s="178" t="s">
        <v>44</v>
      </c>
      <c r="G24" s="179"/>
      <c r="H24" s="58">
        <f>8.74%/12</f>
        <v>7.2833333333333335E-3</v>
      </c>
      <c r="K24" s="178" t="s">
        <v>44</v>
      </c>
      <c r="L24" s="179"/>
      <c r="M24" s="58">
        <f>8.74%/12</f>
        <v>7.2833333333333335E-3</v>
      </c>
      <c r="P24" s="178" t="s">
        <v>44</v>
      </c>
      <c r="Q24" s="179"/>
      <c r="R24" s="58">
        <f>8.74%/12</f>
        <v>7.2833333333333335E-3</v>
      </c>
    </row>
    <row r="25" spans="1:18" ht="15.5">
      <c r="A25" s="177" t="s">
        <v>66</v>
      </c>
      <c r="B25" s="177"/>
      <c r="C25" s="53" cm="1">
        <f t="array" ref="C25">MMULT(TRANSPOSE(C2:C21),B2:B21)</f>
        <v>3.1162608706968825E-2</v>
      </c>
      <c r="F25" s="178" t="s">
        <v>66</v>
      </c>
      <c r="G25" s="179"/>
      <c r="H25" s="53" cm="1">
        <f t="array" ref="H25">MMULT(TRANSPOSE(H2:H21),G2:G21)</f>
        <v>1.3340809151247496E-2</v>
      </c>
      <c r="K25" s="178" t="s">
        <v>66</v>
      </c>
      <c r="L25" s="179"/>
      <c r="M25" s="53" cm="1">
        <f t="array" ref="M25">MMULT(TRANSPOSE(M2:M21),L2:L21)</f>
        <v>3.4157566504538606E-2</v>
      </c>
      <c r="P25" s="178" t="s">
        <v>66</v>
      </c>
      <c r="Q25" s="179"/>
      <c r="R25" s="53" cm="1">
        <f t="array" ref="R25">MMULT(TRANSPOSE(R2:R21),Q2:Q21)</f>
        <v>3.6596626574027805E-2</v>
      </c>
    </row>
    <row r="26" spans="1:18" ht="15.5">
      <c r="A26" s="177" t="s">
        <v>45</v>
      </c>
      <c r="B26" s="177"/>
      <c r="C26" s="53" cm="1">
        <f t="array" ref="C26">MMULT(TRANSPOSE(C2:C21),MMULT(Covariance!$B$2:$U$21,C2:C21))</f>
        <v>3.6742012325075377E-3</v>
      </c>
      <c r="F26" s="178" t="s">
        <v>45</v>
      </c>
      <c r="G26" s="179"/>
      <c r="H26" s="53" cm="1">
        <f t="array" ref="H26">MMULT(TRANSPOSE(H2:H21),MMULT(Covariance!$B$2:$U$21,H2:H21))</f>
        <v>9.0000351758659849E-4</v>
      </c>
      <c r="K26" s="178" t="s">
        <v>45</v>
      </c>
      <c r="L26" s="179"/>
      <c r="M26" s="53" cm="1">
        <f t="array" ref="M26">MMULT(TRANSPOSE(M2:M21),MMULT(Covariance!$B$2:$U$21,M2:M21))</f>
        <v>4.9000006295656364E-3</v>
      </c>
      <c r="P26" s="178" t="s">
        <v>45</v>
      </c>
      <c r="Q26" s="179"/>
      <c r="R26" s="53" cm="1">
        <f t="array" ref="R26">MMULT(TRANSPOSE(R2:R21),MMULT(Covariance!$B$2:$U$21,R2:R21))</f>
        <v>6.3999926001925079E-3</v>
      </c>
    </row>
    <row r="27" spans="1:18" ht="15.5">
      <c r="A27" s="177" t="s">
        <v>46</v>
      </c>
      <c r="B27" s="177"/>
      <c r="C27" s="53">
        <f>SQRT(C26)</f>
        <v>6.0615189783646953E-2</v>
      </c>
      <c r="F27" s="178" t="s">
        <v>46</v>
      </c>
      <c r="G27" s="179"/>
      <c r="H27" s="53">
        <f>SQRT(H26)</f>
        <v>3.0000058626386022E-2</v>
      </c>
      <c r="K27" s="178" t="s">
        <v>46</v>
      </c>
      <c r="L27" s="179"/>
      <c r="M27" s="53">
        <f>SQRT(M26)</f>
        <v>7.0000004496897264E-2</v>
      </c>
      <c r="P27" s="178" t="s">
        <v>46</v>
      </c>
      <c r="Q27" s="179"/>
      <c r="R27" s="53">
        <f>SQRT(R26)</f>
        <v>7.9999953751189803E-2</v>
      </c>
    </row>
    <row r="28" spans="1:18" ht="15.5">
      <c r="A28" s="177" t="s">
        <v>47</v>
      </c>
      <c r="B28" s="177"/>
      <c r="C28" s="54">
        <f>(C25-C24)/C27</f>
        <v>0.39394870260849624</v>
      </c>
      <c r="F28" s="178" t="s">
        <v>47</v>
      </c>
      <c r="G28" s="179"/>
      <c r="H28" s="54">
        <f>(H25-H24)/H27</f>
        <v>0.20191546601133692</v>
      </c>
      <c r="K28" s="178" t="s">
        <v>47</v>
      </c>
      <c r="L28" s="179"/>
      <c r="M28" s="54">
        <f>(M25-M24)/M27</f>
        <v>0.38391759206810433</v>
      </c>
      <c r="P28" s="178" t="s">
        <v>47</v>
      </c>
      <c r="Q28" s="179"/>
      <c r="R28" s="54">
        <f>(R25-R24)/R27</f>
        <v>0.36641637733769949</v>
      </c>
    </row>
    <row r="32" spans="1:18" ht="15.5">
      <c r="A32" s="60" t="s">
        <v>132</v>
      </c>
      <c r="B32" s="60" t="s">
        <v>42</v>
      </c>
    </row>
    <row r="33" spans="1:2" ht="15.5">
      <c r="A33" s="59">
        <f>H27</f>
        <v>3.0000058626386022E-2</v>
      </c>
      <c r="B33" s="61">
        <f>H25</f>
        <v>1.3340809151247496E-2</v>
      </c>
    </row>
    <row r="34" spans="1:2" ht="15.5">
      <c r="A34" s="59">
        <f>C27</f>
        <v>6.0615189783646953E-2</v>
      </c>
      <c r="B34" s="61">
        <f>C25</f>
        <v>3.1162608706968825E-2</v>
      </c>
    </row>
    <row r="35" spans="1:2" ht="15.5">
      <c r="A35" s="59">
        <f>M27</f>
        <v>7.0000004496897264E-2</v>
      </c>
      <c r="B35" s="61">
        <f>M25</f>
        <v>3.4157566504538606E-2</v>
      </c>
    </row>
    <row r="36" spans="1:2" ht="15.5">
      <c r="A36" s="59">
        <f>R27</f>
        <v>7.9999953751189803E-2</v>
      </c>
      <c r="B36" s="61">
        <f>R25</f>
        <v>3.6596626574027805E-2</v>
      </c>
    </row>
    <row r="37" spans="1:2" ht="15.5">
      <c r="A37" s="59"/>
      <c r="B37" s="61"/>
    </row>
    <row r="38" spans="1:2" ht="15.5">
      <c r="A38" s="59"/>
      <c r="B38" s="61"/>
    </row>
    <row r="39" spans="1:2" ht="15.5">
      <c r="A39" s="59">
        <v>0</v>
      </c>
      <c r="B39" s="61">
        <f>C24</f>
        <v>7.2833333333333335E-3</v>
      </c>
    </row>
    <row r="40" spans="1:2" ht="15.5">
      <c r="A40" s="59">
        <f>C27</f>
        <v>6.0615189783646953E-2</v>
      </c>
      <c r="B40" s="61">
        <f>C25</f>
        <v>3.1162608706968825E-2</v>
      </c>
    </row>
    <row r="41" spans="1:2">
      <c r="A41" s="2"/>
      <c r="B41" s="2"/>
    </row>
  </sheetData>
  <mergeCells count="20">
    <mergeCell ref="A24:B24"/>
    <mergeCell ref="F24:G24"/>
    <mergeCell ref="K24:L24"/>
    <mergeCell ref="P24:Q24"/>
    <mergeCell ref="A25:B25"/>
    <mergeCell ref="F25:G25"/>
    <mergeCell ref="K25:L25"/>
    <mergeCell ref="P25:Q25"/>
    <mergeCell ref="A28:B28"/>
    <mergeCell ref="F28:G28"/>
    <mergeCell ref="K28:L28"/>
    <mergeCell ref="P28:Q28"/>
    <mergeCell ref="A26:B26"/>
    <mergeCell ref="F26:G26"/>
    <mergeCell ref="K26:L26"/>
    <mergeCell ref="P26:Q26"/>
    <mergeCell ref="A27:B27"/>
    <mergeCell ref="F27:G27"/>
    <mergeCell ref="K27:L27"/>
    <mergeCell ref="P27:Q27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3350-9A1D-42D4-BE29-F32CA75B9B3C}">
  <dimension ref="A1:R49"/>
  <sheetViews>
    <sheetView topLeftCell="A25" zoomScale="60" zoomScaleNormal="60" workbookViewId="0">
      <selection activeCell="P1" activeCellId="3" sqref="A1:C1 F1:H1 K1:M1 P1:R1"/>
    </sheetView>
  </sheetViews>
  <sheetFormatPr defaultColWidth="8.81640625" defaultRowHeight="14.5"/>
  <cols>
    <col min="1" max="1" width="19.1796875" bestFit="1" customWidth="1"/>
    <col min="3" max="3" width="9.1796875" customWidth="1"/>
    <col min="6" max="6" width="19.1796875" bestFit="1" customWidth="1"/>
    <col min="11" max="11" width="19.1796875" bestFit="1" customWidth="1"/>
    <col min="16" max="16" width="19.1796875" bestFit="1" customWidth="1"/>
    <col min="18" max="18" width="9.36328125" bestFit="1" customWidth="1"/>
  </cols>
  <sheetData>
    <row r="1" spans="1:18" ht="15.5">
      <c r="A1" s="129" t="s">
        <v>41</v>
      </c>
      <c r="B1" s="129" t="s">
        <v>42</v>
      </c>
      <c r="C1" s="129" t="s">
        <v>43</v>
      </c>
      <c r="F1" s="130" t="s">
        <v>41</v>
      </c>
      <c r="G1" s="130" t="s">
        <v>42</v>
      </c>
      <c r="H1" s="130" t="s">
        <v>43</v>
      </c>
      <c r="K1" s="130" t="s">
        <v>41</v>
      </c>
      <c r="L1" s="130" t="s">
        <v>42</v>
      </c>
      <c r="M1" s="130" t="s">
        <v>43</v>
      </c>
      <c r="P1" s="130" t="s">
        <v>41</v>
      </c>
      <c r="Q1" s="130" t="s">
        <v>42</v>
      </c>
      <c r="R1" s="130" t="s">
        <v>43</v>
      </c>
    </row>
    <row r="2" spans="1:18">
      <c r="A2" s="37" t="s">
        <v>127</v>
      </c>
      <c r="B2" s="62">
        <v>2.7526427991102449E-2</v>
      </c>
      <c r="C2" s="64">
        <v>0.71227895966977717</v>
      </c>
      <c r="F2" s="37" t="s">
        <v>127</v>
      </c>
      <c r="G2" s="62">
        <v>2.7526427991102449E-2</v>
      </c>
      <c r="H2" s="64">
        <v>0.16909397934967715</v>
      </c>
      <c r="K2" s="37" t="s">
        <v>127</v>
      </c>
      <c r="L2" s="62">
        <v>2.7526427991102449E-2</v>
      </c>
      <c r="M2" s="64">
        <v>0.85053457104082542</v>
      </c>
      <c r="P2" s="37" t="s">
        <v>127</v>
      </c>
      <c r="Q2" s="62">
        <v>2.7526427991102449E-2</v>
      </c>
      <c r="R2" s="64">
        <v>1.1054053644518131</v>
      </c>
    </row>
    <row r="3" spans="1:18">
      <c r="A3" s="37" t="s">
        <v>105</v>
      </c>
      <c r="B3" s="62">
        <v>1.2711610928648181E-2</v>
      </c>
      <c r="C3" s="64">
        <v>0.47142035556190109</v>
      </c>
      <c r="F3" s="37" t="s">
        <v>105</v>
      </c>
      <c r="G3" s="62">
        <v>1.2711610928648181E-2</v>
      </c>
      <c r="H3" s="64">
        <v>0.19755096289675167</v>
      </c>
      <c r="K3" s="37" t="s">
        <v>105</v>
      </c>
      <c r="L3" s="62">
        <v>1.2711610928648181E-2</v>
      </c>
      <c r="M3" s="64">
        <v>0.41883171372471739</v>
      </c>
      <c r="P3" s="37" t="s">
        <v>105</v>
      </c>
      <c r="Q3" s="62">
        <v>1.2711610928648181E-2</v>
      </c>
      <c r="R3" s="64">
        <v>0.30428933858222201</v>
      </c>
    </row>
    <row r="4" spans="1:18">
      <c r="A4" s="37" t="s">
        <v>106</v>
      </c>
      <c r="B4" s="62">
        <v>1.2891114232266434E-2</v>
      </c>
      <c r="C4" s="64">
        <v>0.6197668006421716</v>
      </c>
      <c r="F4" s="37" t="s">
        <v>106</v>
      </c>
      <c r="G4" s="62">
        <v>1.2891114232266434E-2</v>
      </c>
      <c r="H4" s="64">
        <v>0.13035643264877655</v>
      </c>
      <c r="K4" s="37" t="s">
        <v>106</v>
      </c>
      <c r="L4" s="62">
        <v>1.2891114232266434E-2</v>
      </c>
      <c r="M4" s="64">
        <v>0.68909135194259552</v>
      </c>
      <c r="P4" s="37" t="s">
        <v>106</v>
      </c>
      <c r="Q4" s="62">
        <v>1.2891114232266434E-2</v>
      </c>
      <c r="R4" s="64">
        <v>0.8192259465484879</v>
      </c>
    </row>
    <row r="5" spans="1:18">
      <c r="A5" s="37" t="s">
        <v>107</v>
      </c>
      <c r="B5" s="62">
        <v>-2.179111334745608E-3</v>
      </c>
      <c r="C5" s="64">
        <v>-2</v>
      </c>
      <c r="F5" s="37" t="s">
        <v>107</v>
      </c>
      <c r="G5" s="62">
        <v>-2.179111334745608E-3</v>
      </c>
      <c r="H5" s="64">
        <v>-0.61958633661362195</v>
      </c>
      <c r="K5" s="37" t="s">
        <v>107</v>
      </c>
      <c r="L5" s="62">
        <v>-2.179111334745608E-3</v>
      </c>
      <c r="M5" s="64">
        <v>-2</v>
      </c>
      <c r="P5" s="37" t="s">
        <v>107</v>
      </c>
      <c r="Q5" s="62">
        <v>-2.179111334745608E-3</v>
      </c>
      <c r="R5" s="64">
        <v>-2</v>
      </c>
    </row>
    <row r="6" spans="1:18">
      <c r="A6" s="37" t="s">
        <v>129</v>
      </c>
      <c r="B6" s="62">
        <v>3.2061137995684033E-3</v>
      </c>
      <c r="C6" s="64">
        <v>-8.5902293646905811E-2</v>
      </c>
      <c r="F6" s="37" t="s">
        <v>129</v>
      </c>
      <c r="G6" s="62">
        <v>3.2061137995684033E-3</v>
      </c>
      <c r="H6" s="64">
        <v>-3.4763016533319001E-2</v>
      </c>
      <c r="K6" s="37" t="s">
        <v>129</v>
      </c>
      <c r="L6" s="62">
        <v>3.2061137995684033E-3</v>
      </c>
      <c r="M6" s="64">
        <v>-8.6141739997956046E-2</v>
      </c>
      <c r="P6" s="37" t="s">
        <v>129</v>
      </c>
      <c r="Q6" s="62">
        <v>3.2061137995684033E-3</v>
      </c>
      <c r="R6" s="64">
        <v>-8.1169560534988944E-2</v>
      </c>
    </row>
    <row r="7" spans="1:18">
      <c r="A7" s="37" t="s">
        <v>110</v>
      </c>
      <c r="B7" s="62">
        <v>1.6590918261279002E-5</v>
      </c>
      <c r="C7" s="64">
        <v>-7.6558236036426794E-2</v>
      </c>
      <c r="F7" s="37" t="s">
        <v>110</v>
      </c>
      <c r="G7" s="62">
        <v>1.6590918261279002E-5</v>
      </c>
      <c r="H7" s="64">
        <v>1.5638536406531176E-3</v>
      </c>
      <c r="K7" s="37" t="s">
        <v>110</v>
      </c>
      <c r="L7" s="62">
        <v>1.6590918261279002E-5</v>
      </c>
      <c r="M7" s="64">
        <v>-0.12091091495855089</v>
      </c>
      <c r="P7" s="37" t="s">
        <v>110</v>
      </c>
      <c r="Q7" s="62">
        <v>1.6590918261279002E-5</v>
      </c>
      <c r="R7" s="64">
        <v>-0.22978698302225378</v>
      </c>
    </row>
    <row r="8" spans="1:18">
      <c r="A8" s="37" t="s">
        <v>111</v>
      </c>
      <c r="B8" s="62">
        <v>1.9922484551896161E-2</v>
      </c>
      <c r="C8" s="64">
        <v>0.14227581205267739</v>
      </c>
      <c r="F8" s="37" t="s">
        <v>111</v>
      </c>
      <c r="G8" s="62">
        <v>1.9922484551896161E-2</v>
      </c>
      <c r="H8" s="64">
        <v>5.8788641275610856E-2</v>
      </c>
      <c r="K8" s="37" t="s">
        <v>111</v>
      </c>
      <c r="L8" s="62">
        <v>1.9922484551896161E-2</v>
      </c>
      <c r="M8" s="64">
        <v>0.17532340441150251</v>
      </c>
      <c r="P8" s="37" t="s">
        <v>111</v>
      </c>
      <c r="Q8" s="62">
        <v>1.9922484551896161E-2</v>
      </c>
      <c r="R8" s="64">
        <v>0.2265299962632128</v>
      </c>
    </row>
    <row r="9" spans="1:18">
      <c r="A9" s="37" t="s">
        <v>112</v>
      </c>
      <c r="B9" s="62">
        <v>4.1872316759451703E-2</v>
      </c>
      <c r="C9" s="64">
        <v>1.2377664080709854</v>
      </c>
      <c r="F9" s="37" t="s">
        <v>112</v>
      </c>
      <c r="G9" s="62">
        <v>4.1872316759451703E-2</v>
      </c>
      <c r="H9" s="64">
        <v>0.34250893470791965</v>
      </c>
      <c r="K9" s="37" t="s">
        <v>112</v>
      </c>
      <c r="L9" s="62">
        <v>4.1872316759451703E-2</v>
      </c>
      <c r="M9" s="64">
        <v>1.3932134058269192</v>
      </c>
      <c r="P9" s="37" t="s">
        <v>112</v>
      </c>
      <c r="Q9" s="62">
        <v>4.1872316759451703E-2</v>
      </c>
      <c r="R9" s="64">
        <v>1.6691274527499764</v>
      </c>
    </row>
    <row r="10" spans="1:18">
      <c r="A10" s="37" t="s">
        <v>113</v>
      </c>
      <c r="B10" s="62">
        <v>4.3521431989681182E-3</v>
      </c>
      <c r="C10" s="64">
        <v>0.32849348499402925</v>
      </c>
      <c r="F10" s="37" t="s">
        <v>113</v>
      </c>
      <c r="G10" s="62">
        <v>4.3521431989681182E-3</v>
      </c>
      <c r="H10" s="64">
        <v>2.6728168453981922E-2</v>
      </c>
      <c r="K10" s="37" t="s">
        <v>113</v>
      </c>
      <c r="L10" s="62">
        <v>4.3521431989681182E-3</v>
      </c>
      <c r="M10" s="64">
        <v>0.39473125074517568</v>
      </c>
      <c r="P10" s="37" t="s">
        <v>113</v>
      </c>
      <c r="Q10" s="62">
        <v>4.3521431989681182E-3</v>
      </c>
      <c r="R10" s="64">
        <v>0.46421114751542436</v>
      </c>
    </row>
    <row r="11" spans="1:18">
      <c r="A11" s="37" t="s">
        <v>114</v>
      </c>
      <c r="B11" s="62">
        <v>-4.6500704701170738E-3</v>
      </c>
      <c r="C11" s="64">
        <v>-0.92732025899217985</v>
      </c>
      <c r="F11" s="37" t="s">
        <v>114</v>
      </c>
      <c r="G11" s="62">
        <v>-4.6500704701170738E-3</v>
      </c>
      <c r="H11" s="64">
        <v>-0.22753520313782122</v>
      </c>
      <c r="K11" s="37" t="s">
        <v>114</v>
      </c>
      <c r="L11" s="62">
        <v>-4.6500704701170738E-3</v>
      </c>
      <c r="M11" s="64">
        <v>-1.0420882484382397</v>
      </c>
      <c r="P11" s="37" t="s">
        <v>114</v>
      </c>
      <c r="Q11" s="62">
        <v>-4.6500704701170738E-3</v>
      </c>
      <c r="R11" s="64">
        <v>-1.2724152049595698</v>
      </c>
    </row>
    <row r="12" spans="1:18">
      <c r="A12" s="37" t="s">
        <v>116</v>
      </c>
      <c r="B12" s="62">
        <v>2.1240527279640105E-2</v>
      </c>
      <c r="C12" s="64">
        <v>1.1926728578664916</v>
      </c>
      <c r="F12" s="37" t="s">
        <v>116</v>
      </c>
      <c r="G12" s="62">
        <v>2.1240527279640105E-2</v>
      </c>
      <c r="H12" s="64">
        <v>0.34306950514698892</v>
      </c>
      <c r="K12" s="37" t="s">
        <v>116</v>
      </c>
      <c r="L12" s="62">
        <v>2.1240527279640105E-2</v>
      </c>
      <c r="M12" s="64">
        <v>1.290368866137716</v>
      </c>
      <c r="P12" s="37" t="s">
        <v>116</v>
      </c>
      <c r="Q12" s="62">
        <v>2.1240527279640105E-2</v>
      </c>
      <c r="R12" s="64">
        <v>1.437430663226829</v>
      </c>
    </row>
    <row r="13" spans="1:18">
      <c r="A13" s="37" t="s">
        <v>117</v>
      </c>
      <c r="B13" s="62">
        <v>-5.5687618909142271E-3</v>
      </c>
      <c r="C13" s="64">
        <v>-1.2214218516864541</v>
      </c>
      <c r="F13" s="37" t="s">
        <v>117</v>
      </c>
      <c r="G13" s="62">
        <v>-5.5687618909142271E-3</v>
      </c>
      <c r="H13" s="64">
        <v>-0.41142185430759998</v>
      </c>
      <c r="K13" s="37" t="s">
        <v>117</v>
      </c>
      <c r="L13" s="62">
        <v>-5.5687618909142271E-3</v>
      </c>
      <c r="M13" s="64">
        <v>-1.4139045446551286</v>
      </c>
      <c r="P13" s="37" t="s">
        <v>117</v>
      </c>
      <c r="Q13" s="62">
        <v>-5.5687618909142271E-3</v>
      </c>
      <c r="R13" s="64">
        <v>-1.7110768351703307</v>
      </c>
    </row>
    <row r="14" spans="1:18">
      <c r="A14" s="37" t="s">
        <v>36</v>
      </c>
      <c r="B14" s="62">
        <v>1.5390253792169598E-3</v>
      </c>
      <c r="C14" s="64">
        <v>0.53228319316697348</v>
      </c>
      <c r="F14" s="37" t="s">
        <v>36</v>
      </c>
      <c r="G14" s="62">
        <v>1.5390253792169598E-3</v>
      </c>
      <c r="H14" s="64">
        <v>0.10749477817763316</v>
      </c>
      <c r="K14" s="37" t="s">
        <v>36</v>
      </c>
      <c r="L14" s="62">
        <v>1.5390253792169598E-3</v>
      </c>
      <c r="M14" s="64">
        <v>0.49593176356660335</v>
      </c>
      <c r="P14" s="37" t="s">
        <v>36</v>
      </c>
      <c r="Q14" s="62">
        <v>1.5390253792169598E-3</v>
      </c>
      <c r="R14" s="64">
        <v>0.37013287250756971</v>
      </c>
    </row>
    <row r="15" spans="1:18">
      <c r="A15" s="37" t="s">
        <v>118</v>
      </c>
      <c r="B15" s="62">
        <v>6.5731311023136561E-3</v>
      </c>
      <c r="C15" s="64">
        <v>9.1966877282548709E-2</v>
      </c>
      <c r="F15" s="37" t="s">
        <v>118</v>
      </c>
      <c r="G15" s="62">
        <v>6.5731311023136561E-3</v>
      </c>
      <c r="H15" s="64">
        <v>0.22719983044414196</v>
      </c>
      <c r="K15" s="37" t="s">
        <v>118</v>
      </c>
      <c r="L15" s="62">
        <v>6.5731311023136561E-3</v>
      </c>
      <c r="M15" s="64">
        <v>6.0716691880218368E-3</v>
      </c>
      <c r="P15" s="37" t="s">
        <v>118</v>
      </c>
      <c r="Q15" s="62">
        <v>6.5731311023136561E-3</v>
      </c>
      <c r="R15" s="64">
        <v>5.8487645649709843E-3</v>
      </c>
    </row>
    <row r="16" spans="1:18">
      <c r="A16" s="37" t="s">
        <v>119</v>
      </c>
      <c r="B16" s="62">
        <v>-9.7273706758208411E-3</v>
      </c>
      <c r="C16" s="64">
        <v>0.85976742158476016</v>
      </c>
      <c r="F16" s="37" t="s">
        <v>119</v>
      </c>
      <c r="G16" s="62">
        <v>-9.7273706758208411E-3</v>
      </c>
      <c r="H16" s="64">
        <v>0.28090691906475207</v>
      </c>
      <c r="K16" s="37" t="s">
        <v>119</v>
      </c>
      <c r="L16" s="62">
        <v>-9.7273706758208411E-3</v>
      </c>
      <c r="M16" s="64">
        <v>0.85243248872810273</v>
      </c>
      <c r="P16" s="37" t="s">
        <v>119</v>
      </c>
      <c r="Q16" s="62">
        <v>-9.7273706758208411E-3</v>
      </c>
      <c r="R16" s="64">
        <v>0.80108315843459443</v>
      </c>
    </row>
    <row r="17" spans="1:18">
      <c r="A17" s="37" t="s">
        <v>120</v>
      </c>
      <c r="B17" s="62">
        <v>8.6712521554110425E-3</v>
      </c>
      <c r="C17" s="64">
        <v>-1.0214749831047582E-2</v>
      </c>
      <c r="F17" s="37" t="s">
        <v>120</v>
      </c>
      <c r="G17" s="62">
        <v>8.6712521554110425E-3</v>
      </c>
      <c r="H17" s="64">
        <v>5.8389826681178897E-2</v>
      </c>
      <c r="K17" s="37" t="s">
        <v>120</v>
      </c>
      <c r="L17" s="62">
        <v>8.6712521554110425E-3</v>
      </c>
      <c r="M17" s="64">
        <v>-9.985007520986881E-3</v>
      </c>
      <c r="P17" s="37" t="s">
        <v>120</v>
      </c>
      <c r="Q17" s="62">
        <v>8.6712521554110425E-3</v>
      </c>
      <c r="R17" s="64">
        <v>-1.0207974462787095E-2</v>
      </c>
    </row>
    <row r="18" spans="1:18">
      <c r="A18" s="37" t="s">
        <v>131</v>
      </c>
      <c r="B18" s="62">
        <v>-6.6877443737811627E-4</v>
      </c>
      <c r="C18" s="64">
        <v>-1.9499015893050022</v>
      </c>
      <c r="F18" s="37" t="s">
        <v>131</v>
      </c>
      <c r="G18" s="62">
        <v>-6.6877443737811627E-4</v>
      </c>
      <c r="H18" s="64">
        <v>-0.47310082235841344</v>
      </c>
      <c r="K18" s="37" t="s">
        <v>131</v>
      </c>
      <c r="L18" s="62">
        <v>-6.6877443737811627E-4</v>
      </c>
      <c r="M18" s="64">
        <v>-2</v>
      </c>
      <c r="P18" s="37" t="s">
        <v>131</v>
      </c>
      <c r="Q18" s="62">
        <v>-6.6877443737811627E-4</v>
      </c>
      <c r="R18" s="64">
        <v>-2</v>
      </c>
    </row>
    <row r="19" spans="1:18">
      <c r="A19" s="37" t="s">
        <v>122</v>
      </c>
      <c r="B19" s="62">
        <v>4.4608487957046028E-3</v>
      </c>
      <c r="C19" s="64">
        <v>0.15361818487700593</v>
      </c>
      <c r="F19" s="37" t="s">
        <v>122</v>
      </c>
      <c r="G19" s="62">
        <v>4.4608487957046028E-3</v>
      </c>
      <c r="H19" s="64">
        <v>9.5154337983296144E-2</v>
      </c>
      <c r="K19" s="37" t="s">
        <v>122</v>
      </c>
      <c r="L19" s="62">
        <v>4.4608487957046028E-3</v>
      </c>
      <c r="M19" s="64">
        <v>0.17312104894994423</v>
      </c>
      <c r="P19" s="37" t="s">
        <v>122</v>
      </c>
      <c r="Q19" s="62">
        <v>4.4608487957046028E-3</v>
      </c>
      <c r="R19" s="64">
        <v>0.20209865044916434</v>
      </c>
    </row>
    <row r="20" spans="1:18">
      <c r="A20" s="37" t="s">
        <v>124</v>
      </c>
      <c r="B20" s="63">
        <v>8.659258405648896E-3</v>
      </c>
      <c r="C20" s="64">
        <v>-0.2972010495964032</v>
      </c>
      <c r="F20" s="37" t="s">
        <v>124</v>
      </c>
      <c r="G20" s="63">
        <v>8.659258405648896E-3</v>
      </c>
      <c r="H20" s="64">
        <v>-0.10540821154384186</v>
      </c>
      <c r="K20" s="37" t="s">
        <v>124</v>
      </c>
      <c r="L20" s="63">
        <v>8.659258405648896E-3</v>
      </c>
      <c r="M20" s="64">
        <v>-0.31697581997409652</v>
      </c>
      <c r="P20" s="37" t="s">
        <v>124</v>
      </c>
      <c r="Q20" s="63">
        <v>8.659258405648896E-3</v>
      </c>
      <c r="R20" s="64">
        <v>-0.35293426398097505</v>
      </c>
    </row>
    <row r="21" spans="1:18" ht="15" thickBot="1">
      <c r="A21" s="37" t="s">
        <v>126</v>
      </c>
      <c r="B21" s="63">
        <v>7.0493825171110682E-3</v>
      </c>
      <c r="C21" s="64">
        <v>1.2262096733251007</v>
      </c>
      <c r="F21" s="37" t="s">
        <v>126</v>
      </c>
      <c r="G21" s="63">
        <v>7.0493825171110682E-3</v>
      </c>
      <c r="H21" s="64">
        <v>0.83300927402003</v>
      </c>
      <c r="K21" s="37" t="s">
        <v>126</v>
      </c>
      <c r="L21" s="63">
        <v>7.0493825171110682E-3</v>
      </c>
      <c r="M21" s="64">
        <v>1.2503547412893179</v>
      </c>
      <c r="P21" s="37" t="s">
        <v>126</v>
      </c>
      <c r="Q21" s="63">
        <v>7.0493825171110682E-3</v>
      </c>
      <c r="R21" s="64">
        <v>1.2522074668629384</v>
      </c>
    </row>
    <row r="22" spans="1:18" ht="15" thickBot="1">
      <c r="A22" s="57" t="s">
        <v>86</v>
      </c>
      <c r="B22" s="63"/>
      <c r="C22" s="65">
        <f>SUM(C2:C21)</f>
        <v>1.0000000000000027</v>
      </c>
      <c r="F22" s="57" t="s">
        <v>86</v>
      </c>
      <c r="G22" s="55"/>
      <c r="H22" s="56">
        <f>SUM(H2:H21)</f>
        <v>0.99999999999677458</v>
      </c>
      <c r="K22" s="57" t="s">
        <v>86</v>
      </c>
      <c r="L22" s="55"/>
      <c r="M22" s="56">
        <f>SUM(M2:M21)</f>
        <v>1.0000000000064833</v>
      </c>
      <c r="P22" s="57" t="s">
        <v>86</v>
      </c>
      <c r="Q22" s="63"/>
      <c r="R22" s="56">
        <f>SUM(R2:R21)</f>
        <v>1.0000000000262983</v>
      </c>
    </row>
    <row r="23" spans="1:18" ht="15" thickTop="1"/>
    <row r="24" spans="1:18" ht="15.5">
      <c r="A24" s="177" t="s">
        <v>44</v>
      </c>
      <c r="B24" s="177"/>
      <c r="C24" s="58">
        <f>8.74%/12</f>
        <v>7.2833333333333335E-3</v>
      </c>
      <c r="F24" s="178" t="s">
        <v>44</v>
      </c>
      <c r="G24" s="179"/>
      <c r="H24" s="58">
        <f>9.5%/12</f>
        <v>7.9166666666666673E-3</v>
      </c>
      <c r="K24" s="178" t="s">
        <v>44</v>
      </c>
      <c r="L24" s="179"/>
      <c r="M24" s="58">
        <f>10.67%/12</f>
        <v>8.8916666666666675E-3</v>
      </c>
      <c r="P24" s="178" t="s">
        <v>44</v>
      </c>
      <c r="Q24" s="179"/>
      <c r="R24" s="58">
        <f>11.2%/12</f>
        <v>9.3333333333333324E-3</v>
      </c>
    </row>
    <row r="25" spans="1:18" ht="15.5">
      <c r="A25" s="177" t="s">
        <v>66</v>
      </c>
      <c r="B25" s="177"/>
      <c r="C25" s="58" cm="1">
        <f t="array" ref="C25">MMULT(TRANSPOSE(C2:C21),B2:B21)</f>
        <v>0.13124087887201402</v>
      </c>
      <c r="F25" s="178" t="s">
        <v>66</v>
      </c>
      <c r="G25" s="179"/>
      <c r="H25" s="58" cm="1">
        <f t="array" ref="H25">MMULT(TRANSPOSE(H2:H21),G2:G21)</f>
        <v>4.1483218301946428E-2</v>
      </c>
      <c r="K25" s="178" t="s">
        <v>66</v>
      </c>
      <c r="L25" s="179"/>
      <c r="M25" s="58" cm="1">
        <f t="array" ref="M25">MMULT(TRANSPOSE(M2:M21),L2:L21)</f>
        <v>0.14597879175169012</v>
      </c>
      <c r="P25" s="178" t="s">
        <v>66</v>
      </c>
      <c r="Q25" s="179"/>
      <c r="R25" s="58" cm="1">
        <f t="array" ref="R25">MMULT(TRANSPOSE(R2:R21),Q2:Q21)</f>
        <v>0.17208890842586341</v>
      </c>
    </row>
    <row r="26" spans="1:18" ht="15.5">
      <c r="A26" s="177" t="s">
        <v>45</v>
      </c>
      <c r="B26" s="177"/>
      <c r="C26" s="58" cm="1">
        <f t="array" ref="C26">MMULT(TRANSPOSE(C2:C21),MMULT(Covariance!$B$2:$U$21,C2:C21))</f>
        <v>1.7904720560727446E-2</v>
      </c>
      <c r="F26" s="178" t="s">
        <v>45</v>
      </c>
      <c r="G26" s="179"/>
      <c r="H26" s="58" cm="1">
        <f t="array" ref="H26">MMULT(TRANSPOSE(H2:H21),MMULT(Covariance!$B$2:$U$21,H2:H21))</f>
        <v>1.600001240404202E-3</v>
      </c>
      <c r="K26" s="178" t="s">
        <v>45</v>
      </c>
      <c r="L26" s="179"/>
      <c r="M26" s="58" cm="1">
        <f t="array" ref="M26">MMULT(TRANSPOSE(M2:M21),MMULT(Covariance!$B$2:$U$21,M2:M21))</f>
        <v>2.2499991488195759E-2</v>
      </c>
      <c r="P26" s="178" t="s">
        <v>45</v>
      </c>
      <c r="Q26" s="179"/>
      <c r="R26" s="58" cm="1">
        <f t="array" ref="R26">MMULT(TRANSPOSE(R2:R21),MMULT(Covariance!$B$2:$U$21,R2:R21))</f>
        <v>3.2400005044510585E-2</v>
      </c>
    </row>
    <row r="27" spans="1:18" ht="15.5">
      <c r="A27" s="177" t="s">
        <v>46</v>
      </c>
      <c r="B27" s="177"/>
      <c r="C27" s="58">
        <f>SQRT(C26)</f>
        <v>0.13380852200337409</v>
      </c>
      <c r="F27" s="178" t="s">
        <v>46</v>
      </c>
      <c r="G27" s="179"/>
      <c r="H27" s="58">
        <f>SQRT(H26)</f>
        <v>4.0000015505049516E-2</v>
      </c>
      <c r="K27" s="178" t="s">
        <v>46</v>
      </c>
      <c r="L27" s="179"/>
      <c r="M27" s="58">
        <f>SQRT(M26)</f>
        <v>0.14999997162731651</v>
      </c>
      <c r="P27" s="178" t="s">
        <v>46</v>
      </c>
      <c r="Q27" s="179"/>
      <c r="R27" s="58">
        <f>SQRT(R26)</f>
        <v>0.18000001401252885</v>
      </c>
    </row>
    <row r="28" spans="1:18" ht="15.5">
      <c r="A28" s="177" t="s">
        <v>47</v>
      </c>
      <c r="B28" s="177"/>
      <c r="C28" s="54">
        <f>(C25-C24)/C27</f>
        <v>0.92638005175451377</v>
      </c>
      <c r="F28" s="178" t="s">
        <v>47</v>
      </c>
      <c r="G28" s="179"/>
      <c r="H28" s="54">
        <f>(H25-H24)/H27</f>
        <v>0.83916346560021682</v>
      </c>
      <c r="K28" s="178" t="s">
        <v>47</v>
      </c>
      <c r="L28" s="179"/>
      <c r="M28" s="54">
        <f>(M25-M24)/M27</f>
        <v>0.91391434010150518</v>
      </c>
      <c r="P28" s="178" t="s">
        <v>47</v>
      </c>
      <c r="Q28" s="179"/>
      <c r="R28" s="54">
        <f>(R25-R24)/R27</f>
        <v>0.90419756901353088</v>
      </c>
    </row>
    <row r="32" spans="1:18" ht="15.5">
      <c r="A32" s="60" t="s">
        <v>132</v>
      </c>
      <c r="B32" s="60" t="s">
        <v>42</v>
      </c>
    </row>
    <row r="33" spans="1:2" ht="15.5">
      <c r="A33" s="59">
        <f>H27</f>
        <v>4.0000015505049516E-2</v>
      </c>
      <c r="B33" s="61">
        <f>H25</f>
        <v>4.1483218301946428E-2</v>
      </c>
    </row>
    <row r="34" spans="1:2" ht="15.5">
      <c r="A34" s="59">
        <f>C27</f>
        <v>0.13380852200337409</v>
      </c>
      <c r="B34" s="61">
        <f>C25</f>
        <v>0.13124087887201402</v>
      </c>
    </row>
    <row r="35" spans="1:2" ht="15.5">
      <c r="A35" s="59">
        <f>M27</f>
        <v>0.14999997162731651</v>
      </c>
      <c r="B35" s="61">
        <f>M25</f>
        <v>0.14597879175169012</v>
      </c>
    </row>
    <row r="36" spans="1:2" ht="15.5">
      <c r="A36" s="59">
        <f>R27</f>
        <v>0.18000001401252885</v>
      </c>
      <c r="B36" s="61">
        <f>R25</f>
        <v>0.17208890842586341</v>
      </c>
    </row>
    <row r="37" spans="1:2" ht="15.5">
      <c r="A37" s="59"/>
      <c r="B37" s="61"/>
    </row>
    <row r="38" spans="1:2" ht="15.5">
      <c r="A38" s="59"/>
      <c r="B38" s="61"/>
    </row>
    <row r="39" spans="1:2" ht="15.5">
      <c r="A39" s="59">
        <v>0</v>
      </c>
      <c r="B39" s="61">
        <f>H24</f>
        <v>7.9166666666666673E-3</v>
      </c>
    </row>
    <row r="40" spans="1:2" ht="15.5">
      <c r="A40" s="59">
        <f>H27</f>
        <v>4.0000015505049516E-2</v>
      </c>
      <c r="B40" s="61">
        <f>H25</f>
        <v>4.1483218301946428E-2</v>
      </c>
    </row>
    <row r="41" spans="1:2">
      <c r="A41" s="67"/>
      <c r="B41" s="66"/>
    </row>
    <row r="42" spans="1:2" ht="15.5">
      <c r="A42" s="59">
        <v>0</v>
      </c>
      <c r="B42" s="61">
        <f>C24</f>
        <v>7.2833333333333335E-3</v>
      </c>
    </row>
    <row r="43" spans="1:2" ht="15.5">
      <c r="A43" s="59">
        <f>C27</f>
        <v>0.13380852200337409</v>
      </c>
      <c r="B43" s="61">
        <f>C25</f>
        <v>0.13124087887201402</v>
      </c>
    </row>
    <row r="44" spans="1:2">
      <c r="A44" s="68"/>
      <c r="B44" s="17"/>
    </row>
    <row r="45" spans="1:2" ht="15.5">
      <c r="A45" s="59">
        <v>0</v>
      </c>
      <c r="B45" s="61">
        <f>M24</f>
        <v>8.8916666666666675E-3</v>
      </c>
    </row>
    <row r="46" spans="1:2" ht="15.5">
      <c r="A46" s="59">
        <f>M27</f>
        <v>0.14999997162731651</v>
      </c>
      <c r="B46" s="61">
        <f>M25</f>
        <v>0.14597879175169012</v>
      </c>
    </row>
    <row r="47" spans="1:2">
      <c r="A47" s="68"/>
      <c r="B47" s="17"/>
    </row>
    <row r="48" spans="1:2" ht="15.5">
      <c r="A48" s="59">
        <v>0</v>
      </c>
      <c r="B48" s="61">
        <f>R24</f>
        <v>9.3333333333333324E-3</v>
      </c>
    </row>
    <row r="49" spans="1:2" ht="15.5">
      <c r="A49" s="59">
        <f>R27</f>
        <v>0.18000001401252885</v>
      </c>
      <c r="B49" s="61">
        <f>R25</f>
        <v>0.17208890842586341</v>
      </c>
    </row>
  </sheetData>
  <mergeCells count="20">
    <mergeCell ref="A24:B24"/>
    <mergeCell ref="F24:G24"/>
    <mergeCell ref="K24:L24"/>
    <mergeCell ref="P24:Q24"/>
    <mergeCell ref="A25:B25"/>
    <mergeCell ref="F25:G25"/>
    <mergeCell ref="K25:L25"/>
    <mergeCell ref="P25:Q25"/>
    <mergeCell ref="A28:B28"/>
    <mergeCell ref="F28:G28"/>
    <mergeCell ref="K28:L28"/>
    <mergeCell ref="P28:Q28"/>
    <mergeCell ref="A26:B26"/>
    <mergeCell ref="F26:G26"/>
    <mergeCell ref="K26:L26"/>
    <mergeCell ref="P26:Q26"/>
    <mergeCell ref="A27:B27"/>
    <mergeCell ref="F27:G27"/>
    <mergeCell ref="K27:L27"/>
    <mergeCell ref="P27:Q27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3075-5CFD-408F-926C-7998E61B8343}">
  <dimension ref="A1:R41"/>
  <sheetViews>
    <sheetView topLeftCell="A16" zoomScale="59" zoomScaleNormal="77" workbookViewId="0">
      <selection activeCell="F1" sqref="F1"/>
    </sheetView>
  </sheetViews>
  <sheetFormatPr defaultColWidth="8.81640625" defaultRowHeight="14.5"/>
  <cols>
    <col min="1" max="1" width="19.1796875" bestFit="1" customWidth="1"/>
    <col min="2" max="2" width="8.90625" bestFit="1" customWidth="1"/>
    <col min="3" max="3" width="9.1796875" customWidth="1"/>
    <col min="6" max="6" width="19.1796875" bestFit="1" customWidth="1"/>
    <col min="11" max="11" width="19.1796875" bestFit="1" customWidth="1"/>
    <col min="16" max="16" width="19.1796875" bestFit="1" customWidth="1"/>
    <col min="18" max="18" width="9.36328125" bestFit="1" customWidth="1"/>
  </cols>
  <sheetData>
    <row r="1" spans="1:18" ht="15.5">
      <c r="A1" s="129" t="s">
        <v>41</v>
      </c>
      <c r="B1" s="129" t="s">
        <v>42</v>
      </c>
      <c r="C1" s="129" t="s">
        <v>43</v>
      </c>
      <c r="F1" s="130" t="s">
        <v>41</v>
      </c>
      <c r="G1" s="130" t="s">
        <v>42</v>
      </c>
      <c r="H1" s="130" t="s">
        <v>43</v>
      </c>
      <c r="K1" s="130" t="s">
        <v>41</v>
      </c>
      <c r="L1" s="130" t="s">
        <v>42</v>
      </c>
      <c r="M1" s="130" t="s">
        <v>43</v>
      </c>
      <c r="P1" s="130" t="s">
        <v>41</v>
      </c>
      <c r="Q1" s="130" t="s">
        <v>42</v>
      </c>
      <c r="R1" s="130" t="s">
        <v>43</v>
      </c>
    </row>
    <row r="2" spans="1:18">
      <c r="A2" s="37" t="s">
        <v>127</v>
      </c>
      <c r="B2" s="62">
        <v>2.7526427991102449E-2</v>
      </c>
      <c r="C2" s="64">
        <v>0</v>
      </c>
      <c r="F2" s="37" t="s">
        <v>127</v>
      </c>
      <c r="G2" s="62">
        <v>2.7526427991102449E-2</v>
      </c>
      <c r="H2" s="64">
        <v>1.3515323783386834E-2</v>
      </c>
      <c r="K2" s="37" t="s">
        <v>127</v>
      </c>
      <c r="L2" s="62">
        <v>2.7526427991102449E-2</v>
      </c>
      <c r="M2" s="64">
        <v>9.0805238933983581E-2</v>
      </c>
      <c r="P2" s="37" t="s">
        <v>127</v>
      </c>
      <c r="Q2" s="62">
        <v>2.7526427991102449E-2</v>
      </c>
      <c r="R2" s="64">
        <v>0.11641484995822714</v>
      </c>
    </row>
    <row r="3" spans="1:18">
      <c r="A3" s="37" t="s">
        <v>105</v>
      </c>
      <c r="B3" s="62">
        <v>1.2711610928648181E-2</v>
      </c>
      <c r="C3" s="64">
        <v>3.9377604546141393E-2</v>
      </c>
      <c r="F3" s="37" t="s">
        <v>105</v>
      </c>
      <c r="G3" s="62">
        <v>1.2711610928648181E-2</v>
      </c>
      <c r="H3" s="64">
        <v>5.3866461764410345E-2</v>
      </c>
      <c r="K3" s="37" t="s">
        <v>105</v>
      </c>
      <c r="L3" s="62">
        <v>1.2711610928648181E-2</v>
      </c>
      <c r="M3" s="64">
        <v>4.7965850085051907E-2</v>
      </c>
      <c r="P3" s="37" t="s">
        <v>105</v>
      </c>
      <c r="Q3" s="62">
        <v>1.2711610928648181E-2</v>
      </c>
      <c r="R3" s="64">
        <v>4.5764516482400423E-2</v>
      </c>
    </row>
    <row r="4" spans="1:18">
      <c r="A4" s="37" t="s">
        <v>106</v>
      </c>
      <c r="B4" s="62">
        <v>1.2891114232266434E-2</v>
      </c>
      <c r="C4" s="64">
        <v>0</v>
      </c>
      <c r="F4" s="37" t="s">
        <v>106</v>
      </c>
      <c r="G4" s="62">
        <v>1.2891114232266434E-2</v>
      </c>
      <c r="H4" s="64">
        <v>0</v>
      </c>
      <c r="K4" s="37" t="s">
        <v>106</v>
      </c>
      <c r="L4" s="62">
        <v>1.2891114232266434E-2</v>
      </c>
      <c r="M4" s="64">
        <v>0</v>
      </c>
      <c r="P4" s="37" t="s">
        <v>106</v>
      </c>
      <c r="Q4" s="62">
        <v>1.2891114232266434E-2</v>
      </c>
      <c r="R4" s="64">
        <v>0</v>
      </c>
    </row>
    <row r="5" spans="1:18">
      <c r="A5" s="37" t="s">
        <v>107</v>
      </c>
      <c r="B5" s="62">
        <v>-2.179111334745608E-3</v>
      </c>
      <c r="C5" s="64">
        <v>0</v>
      </c>
      <c r="F5" s="37" t="s">
        <v>107</v>
      </c>
      <c r="G5" s="62">
        <v>-2.179111334745608E-3</v>
      </c>
      <c r="H5" s="64">
        <v>0</v>
      </c>
      <c r="K5" s="37" t="s">
        <v>107</v>
      </c>
      <c r="L5" s="62">
        <v>-2.179111334745608E-3</v>
      </c>
      <c r="M5" s="64">
        <v>0</v>
      </c>
      <c r="P5" s="37" t="s">
        <v>107</v>
      </c>
      <c r="Q5" s="62">
        <v>-2.179111334745608E-3</v>
      </c>
      <c r="R5" s="64">
        <v>0</v>
      </c>
    </row>
    <row r="6" spans="1:18">
      <c r="A6" s="37" t="s">
        <v>129</v>
      </c>
      <c r="B6" s="62">
        <v>3.2061137995684033E-3</v>
      </c>
      <c r="C6" s="64">
        <v>0</v>
      </c>
      <c r="F6" s="37" t="s">
        <v>129</v>
      </c>
      <c r="G6" s="62">
        <v>3.2061137995684033E-3</v>
      </c>
      <c r="H6" s="64">
        <v>0</v>
      </c>
      <c r="K6" s="37" t="s">
        <v>129</v>
      </c>
      <c r="L6" s="62">
        <v>3.2061137995684033E-3</v>
      </c>
      <c r="M6" s="64">
        <v>0</v>
      </c>
      <c r="P6" s="37" t="s">
        <v>129</v>
      </c>
      <c r="Q6" s="62">
        <v>3.2061137995684033E-3</v>
      </c>
      <c r="R6" s="64">
        <v>0</v>
      </c>
    </row>
    <row r="7" spans="1:18">
      <c r="A7" s="37" t="s">
        <v>110</v>
      </c>
      <c r="B7" s="62">
        <v>1.6590918261279002E-5</v>
      </c>
      <c r="C7" s="64">
        <v>0</v>
      </c>
      <c r="F7" s="37" t="s">
        <v>110</v>
      </c>
      <c r="G7" s="62">
        <v>1.6590918261279002E-5</v>
      </c>
      <c r="H7" s="64">
        <v>0</v>
      </c>
      <c r="K7" s="37" t="s">
        <v>110</v>
      </c>
      <c r="L7" s="62">
        <v>1.6590918261279002E-5</v>
      </c>
      <c r="M7" s="64">
        <v>0</v>
      </c>
      <c r="P7" s="37" t="s">
        <v>110</v>
      </c>
      <c r="Q7" s="62">
        <v>1.6590918261279002E-5</v>
      </c>
      <c r="R7" s="64">
        <v>0</v>
      </c>
    </row>
    <row r="8" spans="1:18">
      <c r="A8" s="37" t="s">
        <v>111</v>
      </c>
      <c r="B8" s="62">
        <v>1.9922484551896161E-2</v>
      </c>
      <c r="C8" s="64">
        <v>6.3936912844713673E-2</v>
      </c>
      <c r="F8" s="37" t="s">
        <v>111</v>
      </c>
      <c r="G8" s="62">
        <v>1.9922484551896161E-2</v>
      </c>
      <c r="H8" s="64">
        <v>6.3542183422928056E-2</v>
      </c>
      <c r="K8" s="37" t="s">
        <v>111</v>
      </c>
      <c r="L8" s="62">
        <v>1.9922484551896161E-2</v>
      </c>
      <c r="M8" s="64">
        <v>7.0269666574702169E-2</v>
      </c>
      <c r="P8" s="37" t="s">
        <v>111</v>
      </c>
      <c r="Q8" s="62">
        <v>1.9922484551896161E-2</v>
      </c>
      <c r="R8" s="64">
        <v>7.2538245528761439E-2</v>
      </c>
    </row>
    <row r="9" spans="1:18">
      <c r="A9" s="37" t="s">
        <v>112</v>
      </c>
      <c r="B9" s="62">
        <v>4.1872316759451703E-2</v>
      </c>
      <c r="C9" s="64">
        <v>5.9147079039944477E-2</v>
      </c>
      <c r="F9" s="37" t="s">
        <v>112</v>
      </c>
      <c r="G9" s="62">
        <v>4.1872316759451703E-2</v>
      </c>
      <c r="H9" s="64">
        <v>0.13151510220300111</v>
      </c>
      <c r="K9" s="37" t="s">
        <v>112</v>
      </c>
      <c r="L9" s="62">
        <v>4.1872316759451703E-2</v>
      </c>
      <c r="M9" s="64">
        <v>0.20182362044809743</v>
      </c>
      <c r="P9" s="37" t="s">
        <v>112</v>
      </c>
      <c r="Q9" s="62">
        <v>4.1872316759451703E-2</v>
      </c>
      <c r="R9" s="64">
        <v>0.22555745343565739</v>
      </c>
    </row>
    <row r="10" spans="1:18">
      <c r="A10" s="37" t="s">
        <v>113</v>
      </c>
      <c r="B10" s="62">
        <v>4.3521431989681182E-3</v>
      </c>
      <c r="C10" s="64">
        <v>0</v>
      </c>
      <c r="F10" s="37" t="s">
        <v>113</v>
      </c>
      <c r="G10" s="62">
        <v>4.3521431989681182E-3</v>
      </c>
      <c r="H10" s="64">
        <v>0</v>
      </c>
      <c r="K10" s="37" t="s">
        <v>113</v>
      </c>
      <c r="L10" s="62">
        <v>4.3521431989681182E-3</v>
      </c>
      <c r="M10" s="64">
        <v>0</v>
      </c>
      <c r="P10" s="37" t="s">
        <v>113</v>
      </c>
      <c r="Q10" s="62">
        <v>4.3521431989681182E-3</v>
      </c>
      <c r="R10" s="64">
        <v>0</v>
      </c>
    </row>
    <row r="11" spans="1:18">
      <c r="A11" s="37" t="s">
        <v>114</v>
      </c>
      <c r="B11" s="62">
        <v>-4.6500704701170738E-3</v>
      </c>
      <c r="C11" s="64">
        <v>0</v>
      </c>
      <c r="F11" s="37" t="s">
        <v>114</v>
      </c>
      <c r="G11" s="62">
        <v>-4.6500704701170738E-3</v>
      </c>
      <c r="H11" s="64">
        <v>0</v>
      </c>
      <c r="K11" s="37" t="s">
        <v>114</v>
      </c>
      <c r="L11" s="62">
        <v>-4.6500704701170738E-3</v>
      </c>
      <c r="M11" s="64">
        <v>0</v>
      </c>
      <c r="P11" s="37" t="s">
        <v>114</v>
      </c>
      <c r="Q11" s="62">
        <v>-4.6500704701170738E-3</v>
      </c>
      <c r="R11" s="64">
        <v>0</v>
      </c>
    </row>
    <row r="12" spans="1:18">
      <c r="A12" s="37" t="s">
        <v>116</v>
      </c>
      <c r="B12" s="62">
        <v>2.1240527279640105E-2</v>
      </c>
      <c r="C12" s="64">
        <v>3.1872165843856187E-2</v>
      </c>
      <c r="F12" s="37" t="s">
        <v>116</v>
      </c>
      <c r="G12" s="62">
        <v>2.1240527279640105E-2</v>
      </c>
      <c r="H12" s="64">
        <v>0.11533842297163402</v>
      </c>
      <c r="K12" s="37" t="s">
        <v>116</v>
      </c>
      <c r="L12" s="62">
        <v>2.1240527279640105E-2</v>
      </c>
      <c r="M12" s="64">
        <v>0.18184370802202585</v>
      </c>
      <c r="P12" s="37" t="s">
        <v>116</v>
      </c>
      <c r="Q12" s="62">
        <v>2.1240527279640105E-2</v>
      </c>
      <c r="R12" s="64">
        <v>0.20401306867516603</v>
      </c>
    </row>
    <row r="13" spans="1:18">
      <c r="A13" s="37" t="s">
        <v>117</v>
      </c>
      <c r="B13" s="62">
        <v>-5.5687618909142271E-3</v>
      </c>
      <c r="C13" s="64">
        <v>0</v>
      </c>
      <c r="F13" s="37" t="s">
        <v>117</v>
      </c>
      <c r="G13" s="62">
        <v>-5.5687618909142271E-3</v>
      </c>
      <c r="H13" s="64">
        <v>0</v>
      </c>
      <c r="K13" s="37" t="s">
        <v>117</v>
      </c>
      <c r="L13" s="62">
        <v>-5.5687618909142271E-3</v>
      </c>
      <c r="M13" s="64">
        <v>0</v>
      </c>
      <c r="P13" s="37" t="s">
        <v>117</v>
      </c>
      <c r="Q13" s="62">
        <v>-5.5687618909142271E-3</v>
      </c>
      <c r="R13" s="64">
        <v>0</v>
      </c>
    </row>
    <row r="14" spans="1:18">
      <c r="A14" s="37" t="s">
        <v>36</v>
      </c>
      <c r="B14" s="62">
        <v>1.5390253792169598E-3</v>
      </c>
      <c r="C14" s="64">
        <v>0</v>
      </c>
      <c r="F14" s="37" t="s">
        <v>36</v>
      </c>
      <c r="G14" s="62">
        <v>1.5390253792169598E-3</v>
      </c>
      <c r="H14" s="64">
        <v>0</v>
      </c>
      <c r="K14" s="37" t="s">
        <v>36</v>
      </c>
      <c r="L14" s="62">
        <v>1.5390253792169598E-3</v>
      </c>
      <c r="M14" s="64">
        <v>0</v>
      </c>
      <c r="P14" s="37" t="s">
        <v>36</v>
      </c>
      <c r="Q14" s="62">
        <v>1.5390253792169598E-3</v>
      </c>
      <c r="R14" s="64">
        <v>0</v>
      </c>
    </row>
    <row r="15" spans="1:18">
      <c r="A15" s="37" t="s">
        <v>118</v>
      </c>
      <c r="B15" s="62">
        <v>6.5731311023136561E-3</v>
      </c>
      <c r="C15" s="64">
        <v>0.11192036203768532</v>
      </c>
      <c r="F15" s="37" t="s">
        <v>118</v>
      </c>
      <c r="G15" s="62">
        <v>6.5731311023136561E-3</v>
      </c>
      <c r="H15" s="64">
        <v>9.420356303506143E-2</v>
      </c>
      <c r="K15" s="37" t="s">
        <v>118</v>
      </c>
      <c r="L15" s="62">
        <v>6.5731311023136561E-3</v>
      </c>
      <c r="M15" s="64">
        <v>2.2031775789132096E-2</v>
      </c>
      <c r="P15" s="37" t="s">
        <v>118</v>
      </c>
      <c r="Q15" s="62">
        <v>6.5731311023136561E-3</v>
      </c>
      <c r="R15" s="64">
        <v>0</v>
      </c>
    </row>
    <row r="16" spans="1:18">
      <c r="A16" s="37" t="s">
        <v>119</v>
      </c>
      <c r="B16" s="62">
        <v>-9.7273706758208411E-3</v>
      </c>
      <c r="C16" s="64">
        <v>0</v>
      </c>
      <c r="F16" s="37" t="s">
        <v>119</v>
      </c>
      <c r="G16" s="62">
        <v>-9.7273706758208411E-3</v>
      </c>
      <c r="H16" s="64">
        <v>0</v>
      </c>
      <c r="K16" s="37" t="s">
        <v>119</v>
      </c>
      <c r="L16" s="62">
        <v>-9.7273706758208411E-3</v>
      </c>
      <c r="M16" s="64">
        <v>0</v>
      </c>
      <c r="P16" s="37" t="s">
        <v>119</v>
      </c>
      <c r="Q16" s="62">
        <v>-9.7273706758208411E-3</v>
      </c>
      <c r="R16" s="64">
        <v>0</v>
      </c>
    </row>
    <row r="17" spans="1:18">
      <c r="A17" s="37" t="s">
        <v>120</v>
      </c>
      <c r="B17" s="62">
        <v>8.6712521554110425E-3</v>
      </c>
      <c r="C17" s="64">
        <v>0.21299293408234463</v>
      </c>
      <c r="F17" s="37" t="s">
        <v>120</v>
      </c>
      <c r="G17" s="62">
        <v>8.6712521554110425E-3</v>
      </c>
      <c r="H17" s="64">
        <v>0.23381240169153125</v>
      </c>
      <c r="K17" s="37" t="s">
        <v>120</v>
      </c>
      <c r="L17" s="62">
        <v>8.6712521554110425E-3</v>
      </c>
      <c r="M17" s="64">
        <v>0.19535715476951995</v>
      </c>
      <c r="P17" s="37" t="s">
        <v>120</v>
      </c>
      <c r="Q17" s="62">
        <v>8.6712521554110425E-3</v>
      </c>
      <c r="R17" s="64">
        <v>0.18134138972126618</v>
      </c>
    </row>
    <row r="18" spans="1:18">
      <c r="A18" s="37" t="s">
        <v>131</v>
      </c>
      <c r="B18" s="62">
        <v>-6.6877443737811627E-4</v>
      </c>
      <c r="C18" s="64">
        <v>0.1165479886853612</v>
      </c>
      <c r="F18" s="37" t="s">
        <v>131</v>
      </c>
      <c r="G18" s="62">
        <v>-6.6877443737811627E-4</v>
      </c>
      <c r="H18" s="64">
        <v>0</v>
      </c>
      <c r="K18" s="37" t="s">
        <v>131</v>
      </c>
      <c r="L18" s="62">
        <v>-6.6877443737811627E-4</v>
      </c>
      <c r="M18" s="64">
        <v>0</v>
      </c>
      <c r="P18" s="37" t="s">
        <v>131</v>
      </c>
      <c r="Q18" s="62">
        <v>-6.6877443737811627E-4</v>
      </c>
      <c r="R18" s="64">
        <v>0</v>
      </c>
    </row>
    <row r="19" spans="1:18">
      <c r="A19" s="37" t="s">
        <v>122</v>
      </c>
      <c r="B19" s="62">
        <v>4.4608487957046028E-3</v>
      </c>
      <c r="C19" s="64">
        <v>0</v>
      </c>
      <c r="F19" s="37" t="s">
        <v>122</v>
      </c>
      <c r="G19" s="62">
        <v>4.4608487957046028E-3</v>
      </c>
      <c r="H19" s="64">
        <v>0</v>
      </c>
      <c r="K19" s="37" t="s">
        <v>122</v>
      </c>
      <c r="L19" s="62">
        <v>4.4608487957046028E-3</v>
      </c>
      <c r="M19" s="64">
        <v>0</v>
      </c>
      <c r="P19" s="37" t="s">
        <v>122</v>
      </c>
      <c r="Q19" s="62">
        <v>4.4608487957046028E-3</v>
      </c>
      <c r="R19" s="64">
        <v>0</v>
      </c>
    </row>
    <row r="20" spans="1:18">
      <c r="A20" s="37" t="s">
        <v>124</v>
      </c>
      <c r="B20" s="63">
        <v>8.659258405648896E-3</v>
      </c>
      <c r="C20" s="64">
        <v>0</v>
      </c>
      <c r="F20" s="37" t="s">
        <v>124</v>
      </c>
      <c r="G20" s="63">
        <v>8.659258405648896E-3</v>
      </c>
      <c r="H20" s="64">
        <v>0</v>
      </c>
      <c r="K20" s="37" t="s">
        <v>124</v>
      </c>
      <c r="L20" s="63">
        <v>8.659258405648896E-3</v>
      </c>
      <c r="M20" s="64">
        <v>0</v>
      </c>
      <c r="P20" s="37" t="s">
        <v>124</v>
      </c>
      <c r="Q20" s="63">
        <v>8.659258405648896E-3</v>
      </c>
      <c r="R20" s="64">
        <v>0</v>
      </c>
    </row>
    <row r="21" spans="1:18" ht="15" thickBot="1">
      <c r="A21" s="37" t="s">
        <v>126</v>
      </c>
      <c r="B21" s="63">
        <v>7.0493825171110682E-3</v>
      </c>
      <c r="C21" s="64">
        <v>0.36420495291995325</v>
      </c>
      <c r="F21" s="37" t="s">
        <v>126</v>
      </c>
      <c r="G21" s="63">
        <v>7.0493825171110682E-3</v>
      </c>
      <c r="H21" s="64">
        <v>0.29420654210100899</v>
      </c>
      <c r="K21" s="37" t="s">
        <v>126</v>
      </c>
      <c r="L21" s="63">
        <v>7.0493825171110682E-3</v>
      </c>
      <c r="M21" s="64">
        <v>0.18990298537748695</v>
      </c>
      <c r="P21" s="37" t="s">
        <v>126</v>
      </c>
      <c r="Q21" s="63">
        <v>7.0493825171110682E-3</v>
      </c>
      <c r="R21" s="64">
        <v>0.1543704599182914</v>
      </c>
    </row>
    <row r="22" spans="1:18" ht="15" thickBot="1">
      <c r="A22" s="57" t="s">
        <v>86</v>
      </c>
      <c r="B22" s="55"/>
      <c r="C22" s="56">
        <f>SUM(C2:C21)</f>
        <v>1</v>
      </c>
      <c r="F22" s="57" t="s">
        <v>86</v>
      </c>
      <c r="G22" s="55"/>
      <c r="H22" s="56">
        <f>SUM(H2:H21)</f>
        <v>1.0000000009729619</v>
      </c>
      <c r="K22" s="57" t="s">
        <v>86</v>
      </c>
      <c r="L22" s="63"/>
      <c r="M22" s="56">
        <f>SUM(M2:M21)</f>
        <v>0.99999999999999989</v>
      </c>
      <c r="P22" s="57" t="s">
        <v>86</v>
      </c>
      <c r="Q22" s="55"/>
      <c r="R22" s="56">
        <f>SUM(R2:R21)</f>
        <v>0.99999998371976995</v>
      </c>
    </row>
    <row r="23" spans="1:18" ht="15" thickTop="1"/>
    <row r="24" spans="1:18" ht="15.5">
      <c r="A24" s="177"/>
      <c r="B24" s="177"/>
      <c r="C24" s="58"/>
      <c r="F24" s="178"/>
      <c r="G24" s="179"/>
      <c r="H24" s="58"/>
      <c r="K24" s="178"/>
      <c r="L24" s="179"/>
      <c r="M24" s="58"/>
      <c r="P24" s="178"/>
      <c r="Q24" s="179"/>
      <c r="R24" s="58"/>
    </row>
    <row r="25" spans="1:18" ht="15.5">
      <c r="A25" s="177" t="s">
        <v>66</v>
      </c>
      <c r="B25" s="177"/>
      <c r="C25" s="58" cm="1">
        <f t="array" ref="C25">MMULT(TRANSPOSE(C2:C21),B2:B21)</f>
        <v>1.000000014740152E-2</v>
      </c>
      <c r="F25" s="178" t="s">
        <v>66</v>
      </c>
      <c r="G25" s="179"/>
      <c r="H25" s="58" cm="1">
        <f t="array" ref="H25">MMULT(TRANSPOSE(H2:H21),G2:G21)</f>
        <v>1.5000000312774948E-2</v>
      </c>
      <c r="K25" s="178" t="s">
        <v>66</v>
      </c>
      <c r="L25" s="179"/>
      <c r="M25" s="58" cm="1">
        <f t="array" ref="M25">MMULT(TRANSPOSE(M2:M21),L2:L21)</f>
        <v>1.9999999932606607E-2</v>
      </c>
      <c r="P25" s="178" t="s">
        <v>66</v>
      </c>
      <c r="Q25" s="179"/>
      <c r="R25" s="58" cm="1">
        <f t="array" ref="R25">MMULT(TRANSPOSE(R2:R21),Q2:Q21)</f>
        <v>2.1669999414403753E-2</v>
      </c>
    </row>
    <row r="26" spans="1:18" ht="15.5">
      <c r="A26" s="177" t="s">
        <v>45</v>
      </c>
      <c r="B26" s="177"/>
      <c r="C26" s="58" cm="1">
        <f t="array" ref="C26">MMULT(TRANSPOSE(C2:C21),MMULT(Covariance!$B$2:$U$21,C2:C21))</f>
        <v>7.512131043708732E-4</v>
      </c>
      <c r="F26" s="178" t="s">
        <v>45</v>
      </c>
      <c r="G26" s="179"/>
      <c r="H26" s="58" cm="1">
        <f t="array" ref="H26">MMULT(TRANSPOSE(H2:H21),MMULT(Covariance!$B$2:$U$21,H2:H21))</f>
        <v>1.0141348538969714E-3</v>
      </c>
      <c r="K26" s="178" t="s">
        <v>45</v>
      </c>
      <c r="L26" s="179"/>
      <c r="M26" s="58" cm="1">
        <f t="array" ref="M26">MMULT(TRANSPOSE(M2:M21),MMULT(Covariance!$B$2:$U$21,M2:M21))</f>
        <v>1.5273025113134388E-3</v>
      </c>
      <c r="P26" s="178" t="s">
        <v>45</v>
      </c>
      <c r="Q26" s="179"/>
      <c r="R26" s="58" cm="1">
        <f t="array" ref="R26">MMULT(TRANSPOSE(R2:R21),MMULT(Covariance!$B$2:$U$21,R2:R21))</f>
        <v>1.7538781447143715E-3</v>
      </c>
    </row>
    <row r="27" spans="1:18" ht="15.5">
      <c r="A27" s="177" t="s">
        <v>46</v>
      </c>
      <c r="B27" s="177"/>
      <c r="C27" s="58">
        <f>SQRT(C26)</f>
        <v>2.7408267080770963E-2</v>
      </c>
      <c r="F27" s="178" t="s">
        <v>46</v>
      </c>
      <c r="G27" s="179"/>
      <c r="H27" s="58">
        <f>SQRT(H26)</f>
        <v>3.1845484042434834E-2</v>
      </c>
      <c r="K27" s="178" t="s">
        <v>46</v>
      </c>
      <c r="L27" s="179"/>
      <c r="M27" s="58">
        <f>SQRT(M26)</f>
        <v>3.9080717896597533E-2</v>
      </c>
      <c r="P27" s="178" t="s">
        <v>46</v>
      </c>
      <c r="Q27" s="179"/>
      <c r="R27" s="58">
        <f>SQRT(R26)</f>
        <v>4.1879328369905496E-2</v>
      </c>
    </row>
    <row r="28" spans="1:18" ht="15.5">
      <c r="A28" s="177" t="s">
        <v>47</v>
      </c>
      <c r="B28" s="177"/>
      <c r="C28" s="54">
        <f>C25/C27</f>
        <v>0.36485342608242827</v>
      </c>
      <c r="F28" s="178" t="s">
        <v>47</v>
      </c>
      <c r="G28" s="179"/>
      <c r="H28" s="54">
        <f>H25/H27</f>
        <v>0.47102440938838003</v>
      </c>
      <c r="K28" s="178" t="s">
        <v>47</v>
      </c>
      <c r="L28" s="179"/>
      <c r="M28" s="54">
        <f>M25/M27</f>
        <v>0.5117613239737302</v>
      </c>
      <c r="P28" s="178" t="s">
        <v>47</v>
      </c>
      <c r="Q28" s="179"/>
      <c r="R28" s="54">
        <f>R25/R27</f>
        <v>0.51743903873052144</v>
      </c>
    </row>
    <row r="32" spans="1:18" ht="15.5">
      <c r="A32" s="60" t="s">
        <v>132</v>
      </c>
      <c r="B32" s="60" t="s">
        <v>42</v>
      </c>
    </row>
    <row r="33" spans="1:2" ht="15.5">
      <c r="A33" s="59">
        <f>C27</f>
        <v>2.7408267080770963E-2</v>
      </c>
      <c r="B33" s="61">
        <f>C25</f>
        <v>1.000000014740152E-2</v>
      </c>
    </row>
    <row r="34" spans="1:2" ht="15.5">
      <c r="A34" s="59">
        <f>H27</f>
        <v>3.1845484042434834E-2</v>
      </c>
      <c r="B34" s="61">
        <f>H25</f>
        <v>1.5000000312774948E-2</v>
      </c>
    </row>
    <row r="35" spans="1:2" ht="15.5">
      <c r="A35" s="59">
        <f>M27</f>
        <v>3.9080717896597533E-2</v>
      </c>
      <c r="B35" s="61">
        <f>M25</f>
        <v>1.9999999932606607E-2</v>
      </c>
    </row>
    <row r="36" spans="1:2" ht="15.5">
      <c r="A36" s="59">
        <f>R27</f>
        <v>4.1879328369905496E-2</v>
      </c>
      <c r="B36" s="61">
        <f>R25</f>
        <v>2.1669999414403753E-2</v>
      </c>
    </row>
    <row r="37" spans="1:2" ht="15.5">
      <c r="A37" s="59"/>
      <c r="B37" s="61"/>
    </row>
    <row r="38" spans="1:2" ht="15.5">
      <c r="A38" s="59"/>
      <c r="B38" s="61"/>
    </row>
    <row r="39" spans="1:2" ht="15.5">
      <c r="A39" s="59"/>
      <c r="B39" s="61"/>
    </row>
    <row r="40" spans="1:2" ht="15.5">
      <c r="A40" s="59"/>
      <c r="B40" s="61"/>
    </row>
    <row r="41" spans="1:2">
      <c r="A41" s="2"/>
      <c r="B41" s="2"/>
    </row>
  </sheetData>
  <mergeCells count="20">
    <mergeCell ref="A24:B24"/>
    <mergeCell ref="F24:G24"/>
    <mergeCell ref="K24:L24"/>
    <mergeCell ref="P24:Q24"/>
    <mergeCell ref="A25:B25"/>
    <mergeCell ref="F25:G25"/>
    <mergeCell ref="K25:L25"/>
    <mergeCell ref="P25:Q25"/>
    <mergeCell ref="A28:B28"/>
    <mergeCell ref="F28:G28"/>
    <mergeCell ref="K28:L28"/>
    <mergeCell ref="P28:Q28"/>
    <mergeCell ref="A26:B26"/>
    <mergeCell ref="F26:G26"/>
    <mergeCell ref="K26:L26"/>
    <mergeCell ref="P26:Q26"/>
    <mergeCell ref="A27:B27"/>
    <mergeCell ref="F27:G27"/>
    <mergeCell ref="K27:L27"/>
    <mergeCell ref="P27:Q27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2AC1-D4A1-45AE-85D3-0F916F859DDB}">
  <dimension ref="A1:W108"/>
  <sheetViews>
    <sheetView topLeftCell="J64" zoomScale="64" workbookViewId="0">
      <selection activeCell="K86" sqref="K86"/>
    </sheetView>
  </sheetViews>
  <sheetFormatPr defaultColWidth="8.81640625" defaultRowHeight="14.5"/>
  <cols>
    <col min="2" max="2" width="10.1796875" bestFit="1" customWidth="1"/>
    <col min="4" max="4" width="25.1796875" bestFit="1" customWidth="1"/>
    <col min="5" max="5" width="24.54296875" bestFit="1" customWidth="1"/>
    <col min="6" max="6" width="13.453125" bestFit="1" customWidth="1"/>
    <col min="8" max="8" width="12.26953125" bestFit="1" customWidth="1"/>
    <col min="9" max="9" width="9.90625" bestFit="1" customWidth="1"/>
    <col min="10" max="10" width="13.36328125" bestFit="1" customWidth="1"/>
    <col min="11" max="11" width="17.26953125" bestFit="1" customWidth="1"/>
    <col min="12" max="12" width="13.453125" bestFit="1" customWidth="1"/>
    <col min="13" max="13" width="11.90625" customWidth="1"/>
    <col min="14" max="14" width="13.6328125" customWidth="1"/>
    <col min="15" max="15" width="12.453125" bestFit="1" customWidth="1"/>
    <col min="16" max="16" width="13.453125" bestFit="1" customWidth="1"/>
    <col min="17" max="17" width="10.90625" bestFit="1" customWidth="1"/>
    <col min="18" max="18" width="3.26953125" customWidth="1"/>
    <col min="19" max="19" width="15.81640625" bestFit="1" customWidth="1"/>
    <col min="20" max="20" width="17.26953125" bestFit="1" customWidth="1"/>
    <col min="21" max="21" width="16.6328125" bestFit="1" customWidth="1"/>
    <col min="22" max="22" width="20.453125" bestFit="1" customWidth="1"/>
    <col min="23" max="23" width="21.453125" bestFit="1" customWidth="1"/>
  </cols>
  <sheetData>
    <row r="1" spans="1:23">
      <c r="A1" s="4" t="s">
        <v>37</v>
      </c>
      <c r="B1" s="4"/>
    </row>
    <row r="2" spans="1:23" s="110" customFormat="1" ht="21">
      <c r="A2" s="115" t="s">
        <v>14</v>
      </c>
      <c r="B2" s="115" t="s">
        <v>13</v>
      </c>
      <c r="C2" s="115" t="s">
        <v>48</v>
      </c>
      <c r="D2" s="115" t="s">
        <v>63</v>
      </c>
      <c r="E2" s="115" t="s">
        <v>49</v>
      </c>
      <c r="F2" s="115" t="s">
        <v>53</v>
      </c>
      <c r="G2" s="115" t="s">
        <v>167</v>
      </c>
      <c r="H2" s="115" t="s">
        <v>55</v>
      </c>
      <c r="I2" s="115" t="s">
        <v>56</v>
      </c>
      <c r="J2" s="115"/>
      <c r="K2" s="115" t="s">
        <v>57</v>
      </c>
      <c r="L2" s="115" t="s">
        <v>50</v>
      </c>
      <c r="M2" s="115" t="s">
        <v>51</v>
      </c>
      <c r="N2" s="115" t="s">
        <v>49</v>
      </c>
      <c r="O2" s="115" t="s">
        <v>53</v>
      </c>
      <c r="P2" s="115" t="s">
        <v>52</v>
      </c>
      <c r="Q2" s="115" t="s">
        <v>54</v>
      </c>
    </row>
    <row r="3" spans="1:23">
      <c r="A3" s="186">
        <v>2021</v>
      </c>
      <c r="B3" s="117" t="s">
        <v>25</v>
      </c>
      <c r="C3" s="12">
        <f>SUM('Price Data'!C3:V3)</f>
        <v>9905.3399999999983</v>
      </c>
      <c r="D3" s="12"/>
      <c r="E3" s="118">
        <v>7329.03</v>
      </c>
      <c r="F3" s="12"/>
      <c r="G3" s="12"/>
      <c r="H3" s="10">
        <f>AVERAGE(G4:G63)</f>
        <v>1.1717600084468262E-2</v>
      </c>
      <c r="I3" s="11">
        <f>_xlfn.STDEV.P(G4:G63)</f>
        <v>5.5736557044190227E-2</v>
      </c>
      <c r="J3" s="12"/>
      <c r="K3" s="11">
        <f>_xlfn.STDEV.P(J4:J63)</f>
        <v>2.9494653838836073E-2</v>
      </c>
      <c r="L3" s="119">
        <f>_xlfn.COVARIANCE.P(C3:C63,E3:E63)/_xlfn.VAR.P(E3:E63)</f>
        <v>1.1714580936407264</v>
      </c>
      <c r="M3" s="120">
        <v>43891</v>
      </c>
      <c r="N3" s="118">
        <v>4008.28</v>
      </c>
      <c r="O3" s="11">
        <f>-10.53%</f>
        <v>-0.10529999999999999</v>
      </c>
      <c r="P3" s="10">
        <f>AVERAGE(O3:O80)</f>
        <v>3.9650998191011382E-3</v>
      </c>
      <c r="Q3" s="121">
        <f>_xlfn.STDEV.P(O3:O80)</f>
        <v>4.7534029233586593E-2</v>
      </c>
    </row>
    <row r="4" spans="1:23">
      <c r="A4" s="186"/>
      <c r="B4" s="117" t="s">
        <v>26</v>
      </c>
      <c r="C4" s="12">
        <f>SUM('Price Data'!C4:V4)</f>
        <v>10427.720000000001</v>
      </c>
      <c r="D4" s="11">
        <f>SUM('Total Return'!C4:V4)/20</f>
        <v>7.0315473862754746E-2</v>
      </c>
      <c r="E4" s="118">
        <v>7000.94</v>
      </c>
      <c r="F4" s="11">
        <f>(E4-E3)/E3</f>
        <v>-4.4765814848622555E-2</v>
      </c>
      <c r="G4" s="10">
        <f>D4-F4</f>
        <v>0.11508128871137729</v>
      </c>
      <c r="H4" s="12"/>
      <c r="I4" s="12"/>
      <c r="J4" s="11" t="str">
        <f>IF(G4&gt;=0,"",G4)</f>
        <v/>
      </c>
      <c r="K4" s="12"/>
      <c r="L4" s="12"/>
      <c r="M4" s="120">
        <v>43922</v>
      </c>
      <c r="N4" s="118">
        <v>4008.28</v>
      </c>
      <c r="O4" s="11">
        <f t="shared" ref="O4:O67" si="0">(N4-N3)/N3</f>
        <v>0</v>
      </c>
      <c r="P4" s="12"/>
      <c r="Q4" s="12"/>
    </row>
    <row r="5" spans="1:23">
      <c r="A5" s="186"/>
      <c r="B5" s="117" t="s">
        <v>15</v>
      </c>
      <c r="C5" s="12">
        <f>SUM('Price Data'!C5:V5)</f>
        <v>10435.030000000001</v>
      </c>
      <c r="D5" s="11">
        <f>SUM('Total Return'!C5:V5)/20</f>
        <v>-6.697031065304862E-2</v>
      </c>
      <c r="E5" s="118">
        <v>6703.25</v>
      </c>
      <c r="F5" s="11">
        <f t="shared" ref="F5:F63" si="1">(E5-E4)/E4</f>
        <v>-4.2521432836161943E-2</v>
      </c>
      <c r="G5" s="10">
        <f t="shared" ref="G5:G63" si="2">D5-F5</f>
        <v>-2.4448877816886677E-2</v>
      </c>
      <c r="H5" s="12"/>
      <c r="I5" s="12"/>
      <c r="J5" s="11">
        <f t="shared" ref="J5:J63" si="3">IF(G5&gt;=0,"",G5)</f>
        <v>-2.4448877816886677E-2</v>
      </c>
      <c r="K5" s="12"/>
      <c r="L5" s="12"/>
      <c r="M5" s="120">
        <v>43952</v>
      </c>
      <c r="N5" s="118">
        <v>4060.44</v>
      </c>
      <c r="O5" s="11">
        <f t="shared" si="0"/>
        <v>1.3013062959673439E-2</v>
      </c>
      <c r="P5" s="12"/>
      <c r="Q5" s="12"/>
    </row>
    <row r="6" spans="1:23">
      <c r="A6" s="186"/>
      <c r="B6" s="117" t="s">
        <v>16</v>
      </c>
      <c r="C6" s="12">
        <f>SUM('Price Data'!C6:V6)</f>
        <v>10166.379999999999</v>
      </c>
      <c r="D6" s="11">
        <f>SUM('Total Return'!C6:V6)/20</f>
        <v>-2.2850724596998474E-2</v>
      </c>
      <c r="E6" s="118">
        <v>6756.65</v>
      </c>
      <c r="F6" s="11">
        <f t="shared" si="1"/>
        <v>7.9662850110020708E-3</v>
      </c>
      <c r="G6" s="10">
        <f t="shared" si="2"/>
        <v>-3.0817009608000545E-2</v>
      </c>
      <c r="H6" s="12"/>
      <c r="I6" s="12"/>
      <c r="J6" s="11">
        <f t="shared" si="3"/>
        <v>-3.0817009608000545E-2</v>
      </c>
      <c r="K6" s="12"/>
      <c r="L6" s="12"/>
      <c r="M6" s="120">
        <v>43983</v>
      </c>
      <c r="N6" s="118">
        <v>3989.08</v>
      </c>
      <c r="O6" s="11">
        <f t="shared" si="0"/>
        <v>-1.7574450059599483E-2</v>
      </c>
      <c r="P6" s="12"/>
      <c r="Q6" s="12"/>
    </row>
    <row r="7" spans="1:23" ht="18.5">
      <c r="A7" s="186"/>
      <c r="B7" s="117" t="s">
        <v>17</v>
      </c>
      <c r="C7" s="12">
        <f>SUM('Price Data'!C7:V7)</f>
        <v>11112.46</v>
      </c>
      <c r="D7" s="11">
        <f>SUM('Total Return'!C7:V7)/20</f>
        <v>4.8783185693191553E-2</v>
      </c>
      <c r="E7" s="118">
        <v>6926.29</v>
      </c>
      <c r="F7" s="11">
        <f t="shared" si="1"/>
        <v>2.5107116692443792E-2</v>
      </c>
      <c r="G7" s="10">
        <f t="shared" si="2"/>
        <v>2.367606900074776E-2</v>
      </c>
      <c r="H7" s="12"/>
      <c r="I7" s="12"/>
      <c r="J7" s="11" t="str">
        <f t="shared" si="3"/>
        <v/>
      </c>
      <c r="K7" s="12"/>
      <c r="L7" s="12"/>
      <c r="M7" s="120">
        <v>44013</v>
      </c>
      <c r="N7" s="118">
        <v>4214.42</v>
      </c>
      <c r="O7" s="11">
        <f t="shared" si="0"/>
        <v>5.6489215558474672E-2</v>
      </c>
      <c r="P7" s="12"/>
      <c r="Q7" s="12"/>
      <c r="V7" s="180" t="s">
        <v>168</v>
      </c>
      <c r="W7" s="181"/>
    </row>
    <row r="8" spans="1:23">
      <c r="A8" s="185">
        <v>2022</v>
      </c>
      <c r="B8" s="122" t="s">
        <v>18</v>
      </c>
      <c r="C8" s="12">
        <f>SUM('Price Data'!C8:V8)</f>
        <v>11323.3</v>
      </c>
      <c r="D8" s="11">
        <f>SUM('Total Return'!C8:V8)/20</f>
        <v>7.4256637687602992E-3</v>
      </c>
      <c r="E8" s="118">
        <v>6739.44</v>
      </c>
      <c r="F8" s="11">
        <f t="shared" si="1"/>
        <v>-2.6976924154200929E-2</v>
      </c>
      <c r="G8" s="10">
        <f t="shared" si="2"/>
        <v>3.4402587922961227E-2</v>
      </c>
      <c r="H8" s="12"/>
      <c r="I8" s="12"/>
      <c r="J8" s="11" t="str">
        <f t="shared" si="3"/>
        <v/>
      </c>
      <c r="K8" s="12"/>
      <c r="L8" s="12"/>
      <c r="M8" s="120">
        <v>44044</v>
      </c>
      <c r="N8" s="118">
        <v>4879.1400000000003</v>
      </c>
      <c r="O8" s="11">
        <f t="shared" si="0"/>
        <v>0.15772514367338808</v>
      </c>
      <c r="P8" s="12"/>
      <c r="Q8" s="12"/>
      <c r="U8" s="128"/>
      <c r="V8" s="127" t="s">
        <v>69</v>
      </c>
      <c r="W8" s="9" t="s">
        <v>67</v>
      </c>
    </row>
    <row r="9" spans="1:23">
      <c r="A9" s="185"/>
      <c r="B9" s="122" t="s">
        <v>19</v>
      </c>
      <c r="C9" s="12">
        <f>SUM('Price Data'!C9:V9)</f>
        <v>11340.64</v>
      </c>
      <c r="D9" s="11">
        <f>SUM('Total Return'!C9:V9)/20</f>
        <v>-2.0410443750720913E-2</v>
      </c>
      <c r="E9" s="118">
        <v>6757.83</v>
      </c>
      <c r="F9" s="11">
        <f t="shared" si="1"/>
        <v>2.7287133649087059E-3</v>
      </c>
      <c r="G9" s="10">
        <f t="shared" si="2"/>
        <v>-2.3139157115629617E-2</v>
      </c>
      <c r="H9" s="12"/>
      <c r="I9" s="12"/>
      <c r="J9" s="11">
        <f t="shared" si="3"/>
        <v>-2.3139157115629617E-2</v>
      </c>
      <c r="K9" s="12"/>
      <c r="L9" s="12"/>
      <c r="M9" s="120">
        <v>44075</v>
      </c>
      <c r="N9" s="118">
        <v>4963.29</v>
      </c>
      <c r="O9" s="11">
        <f t="shared" si="0"/>
        <v>1.7246891870288539E-2</v>
      </c>
      <c r="P9" s="12"/>
      <c r="Q9" s="12"/>
      <c r="V9" s="9" t="s">
        <v>58</v>
      </c>
      <c r="W9" s="126">
        <f>('Equal Weight'!C25-'Equal Weight'!C24)/'Equal Weight'!C27</f>
        <v>1.3542302532717921E-2</v>
      </c>
    </row>
    <row r="10" spans="1:23">
      <c r="A10" s="185"/>
      <c r="B10" s="122" t="s">
        <v>20</v>
      </c>
      <c r="C10" s="12">
        <f>SUM('Price Data'!C10:V10)</f>
        <v>10805.33</v>
      </c>
      <c r="D10" s="11">
        <f>SUM('Total Return'!C10:V10)/20</f>
        <v>1.9899891540005737E-3</v>
      </c>
      <c r="E10" s="118">
        <v>6655.66</v>
      </c>
      <c r="F10" s="11">
        <f t="shared" si="1"/>
        <v>-1.511875853639409E-2</v>
      </c>
      <c r="G10" s="10">
        <f t="shared" si="2"/>
        <v>1.7108747690394666E-2</v>
      </c>
      <c r="H10" s="12"/>
      <c r="I10" s="12"/>
      <c r="J10" s="11" t="str">
        <f t="shared" si="3"/>
        <v/>
      </c>
      <c r="K10" s="12"/>
      <c r="L10" s="12"/>
      <c r="M10" s="120">
        <v>44105</v>
      </c>
      <c r="N10" s="118">
        <v>4846.1000000000004</v>
      </c>
      <c r="O10" s="11">
        <f t="shared" si="0"/>
        <v>-2.3611354565217749E-2</v>
      </c>
      <c r="P10" s="12"/>
      <c r="Q10" s="12"/>
      <c r="V10" s="9" t="s">
        <v>59</v>
      </c>
      <c r="W10" s="126">
        <f>('Equal Weight'!C25-'Equal Weight'!C24)/Evaluation!L3</f>
        <v>5.2206189047500806E-4</v>
      </c>
    </row>
    <row r="11" spans="1:23">
      <c r="A11" s="185"/>
      <c r="B11" s="122" t="s">
        <v>21</v>
      </c>
      <c r="C11" s="12">
        <f>SUM('Price Data'!C11:V11)</f>
        <v>10287.59</v>
      </c>
      <c r="D11" s="11">
        <f>SUM('Total Return'!C11:V11)/20</f>
        <v>1.4716464243030464E-2</v>
      </c>
      <c r="E11" s="118">
        <v>6392.85</v>
      </c>
      <c r="F11" s="11">
        <f t="shared" si="1"/>
        <v>-3.9486692529365909E-2</v>
      </c>
      <c r="G11" s="10">
        <f t="shared" si="2"/>
        <v>5.4203156772396371E-2</v>
      </c>
      <c r="H11" s="12"/>
      <c r="I11" s="12"/>
      <c r="J11" s="11" t="str">
        <f t="shared" si="3"/>
        <v/>
      </c>
      <c r="K11" s="12"/>
      <c r="L11" s="12"/>
      <c r="M11" s="120">
        <v>44136</v>
      </c>
      <c r="N11" s="118">
        <v>4866.84</v>
      </c>
      <c r="O11" s="11">
        <f t="shared" si="0"/>
        <v>4.2797300922390747E-3</v>
      </c>
      <c r="P11" s="12"/>
      <c r="Q11" s="12"/>
      <c r="V11" s="9" t="s">
        <v>60</v>
      </c>
      <c r="W11" s="132">
        <f>'Equal Weight'!C25-('SS &amp; RF Allowed'!C25+Evaluation!L3*(Evaluation!P3-'SS &amp; RF Allowed'!C25))</f>
        <v>2.5562159889483533E-2</v>
      </c>
    </row>
    <row r="12" spans="1:23">
      <c r="A12" s="185"/>
      <c r="B12" s="122" t="s">
        <v>22</v>
      </c>
      <c r="C12" s="12">
        <f>SUM('Price Data'!C12:V12)</f>
        <v>9997.8900000000012</v>
      </c>
      <c r="D12" s="11">
        <f>SUM('Total Return'!C12:V12)/20</f>
        <v>-4.1198675748767483E-2</v>
      </c>
      <c r="E12" s="118">
        <v>6376.94</v>
      </c>
      <c r="F12" s="11">
        <f t="shared" si="1"/>
        <v>-2.4887178644893535E-3</v>
      </c>
      <c r="G12" s="10">
        <f t="shared" si="2"/>
        <v>-3.8709957884278126E-2</v>
      </c>
      <c r="H12" s="12"/>
      <c r="I12" s="12"/>
      <c r="J12" s="11">
        <f t="shared" si="3"/>
        <v>-3.8709957884278126E-2</v>
      </c>
      <c r="K12" s="12"/>
      <c r="L12" s="12"/>
      <c r="M12" s="120">
        <v>44166</v>
      </c>
      <c r="N12" s="118">
        <v>5402.06</v>
      </c>
      <c r="O12" s="11">
        <f t="shared" si="0"/>
        <v>0.10997279548947576</v>
      </c>
      <c r="P12" s="12"/>
      <c r="Q12" s="12"/>
      <c r="V12" s="9" t="s">
        <v>61</v>
      </c>
      <c r="W12" s="126">
        <f>H3/I3</f>
        <v>0.21023186048571441</v>
      </c>
    </row>
    <row r="13" spans="1:23">
      <c r="A13" s="185"/>
      <c r="B13" s="122" t="s">
        <v>23</v>
      </c>
      <c r="C13" s="12">
        <f>SUM('Price Data'!C13:V13)</f>
        <v>10270.98</v>
      </c>
      <c r="D13" s="11">
        <f>SUM('Total Return'!C13:V13)/20</f>
        <v>1.9771354773673762E-2</v>
      </c>
      <c r="E13" s="118">
        <v>6133.96</v>
      </c>
      <c r="F13" s="11">
        <f t="shared" si="1"/>
        <v>-3.8102914564038484E-2</v>
      </c>
      <c r="G13" s="10">
        <f t="shared" si="2"/>
        <v>5.7874269337712246E-2</v>
      </c>
      <c r="H13" s="12"/>
      <c r="I13" s="12"/>
      <c r="J13" s="11" t="str">
        <f t="shared" si="3"/>
        <v/>
      </c>
      <c r="K13" s="12"/>
      <c r="L13" s="12"/>
      <c r="M13" s="120">
        <v>44197</v>
      </c>
      <c r="N13" s="118">
        <v>5649.86</v>
      </c>
      <c r="O13" s="11">
        <f t="shared" si="0"/>
        <v>4.5871389803149032E-2</v>
      </c>
      <c r="P13" s="12"/>
      <c r="Q13" s="12"/>
      <c r="V13" s="9" t="s">
        <v>62</v>
      </c>
      <c r="W13" s="126">
        <f>H3/K3</f>
        <v>0.39727877968988112</v>
      </c>
    </row>
    <row r="14" spans="1:23">
      <c r="A14" s="185"/>
      <c r="B14" s="122" t="s">
        <v>24</v>
      </c>
      <c r="C14" s="12">
        <f>SUM('Price Data'!C14:V14)</f>
        <v>10159.92</v>
      </c>
      <c r="D14" s="11">
        <f>SUM('Total Return'!C14:V14)/20</f>
        <v>-1.2911116124301545E-2</v>
      </c>
      <c r="E14" s="118">
        <v>6457.22</v>
      </c>
      <c r="F14" s="11">
        <f t="shared" si="1"/>
        <v>5.2700050212260957E-2</v>
      </c>
      <c r="G14" s="10">
        <f t="shared" si="2"/>
        <v>-6.5611166336562499E-2</v>
      </c>
      <c r="H14" s="12"/>
      <c r="I14" s="12"/>
      <c r="J14" s="11">
        <f t="shared" si="3"/>
        <v>-6.5611166336562499E-2</v>
      </c>
      <c r="K14" s="12"/>
      <c r="L14" s="12"/>
      <c r="M14" s="120">
        <v>44228</v>
      </c>
      <c r="N14" s="118">
        <v>5404.79</v>
      </c>
      <c r="O14" s="11">
        <f t="shared" si="0"/>
        <v>-4.3376296049813572E-2</v>
      </c>
      <c r="P14" s="12"/>
      <c r="Q14" s="12"/>
    </row>
    <row r="15" spans="1:23">
      <c r="A15" s="185"/>
      <c r="B15" s="122" t="s">
        <v>25</v>
      </c>
      <c r="C15" s="12">
        <f>SUM('Price Data'!C15:V15)</f>
        <v>10374.120000000001</v>
      </c>
      <c r="D15" s="11">
        <f>SUM('Total Return'!C15:V15)/20</f>
        <v>5.6241001951243028E-2</v>
      </c>
      <c r="E15" s="118">
        <v>6515.11</v>
      </c>
      <c r="F15" s="11">
        <f t="shared" si="1"/>
        <v>8.9651583808511119E-3</v>
      </c>
      <c r="G15" s="10">
        <f t="shared" si="2"/>
        <v>4.7275843570391912E-2</v>
      </c>
      <c r="H15" s="12"/>
      <c r="I15" s="12"/>
      <c r="J15" s="11" t="str">
        <f t="shared" si="3"/>
        <v/>
      </c>
      <c r="K15" s="12"/>
      <c r="L15" s="12"/>
      <c r="M15" s="120">
        <v>44256</v>
      </c>
      <c r="N15" s="118">
        <v>5278.16</v>
      </c>
      <c r="O15" s="11">
        <f t="shared" si="0"/>
        <v>-2.3429217416402876E-2</v>
      </c>
      <c r="P15" s="12"/>
      <c r="Q15" s="12"/>
    </row>
    <row r="16" spans="1:23">
      <c r="A16" s="185"/>
      <c r="B16" s="122" t="s">
        <v>26</v>
      </c>
      <c r="C16" s="12">
        <f>SUM('Price Data'!C16:V16)</f>
        <v>10302.349999999999</v>
      </c>
      <c r="D16" s="11">
        <f>SUM('Total Return'!C16:V16)/20</f>
        <v>1.8793842235627075E-2</v>
      </c>
      <c r="E16" s="118">
        <v>6307.34</v>
      </c>
      <c r="F16" s="11">
        <f t="shared" si="1"/>
        <v>-3.1890482278887008E-2</v>
      </c>
      <c r="G16" s="10">
        <f t="shared" si="2"/>
        <v>5.0684324514514087E-2</v>
      </c>
      <c r="H16" s="12"/>
      <c r="I16" s="12"/>
      <c r="J16" s="11" t="str">
        <f t="shared" si="3"/>
        <v/>
      </c>
      <c r="K16" s="12"/>
      <c r="L16" s="12"/>
      <c r="M16" s="120">
        <v>44287</v>
      </c>
      <c r="N16" s="118">
        <v>5479.61</v>
      </c>
      <c r="O16" s="11">
        <f t="shared" si="0"/>
        <v>3.8166709610924984E-2</v>
      </c>
      <c r="P16" s="12"/>
      <c r="Q16" s="12"/>
    </row>
    <row r="17" spans="1:23">
      <c r="A17" s="185"/>
      <c r="B17" s="122" t="s">
        <v>15</v>
      </c>
      <c r="C17" s="12">
        <f>SUM('Price Data'!C17:V17)</f>
        <v>10189.030000000001</v>
      </c>
      <c r="D17" s="11">
        <f>SUM('Total Return'!C17:V17)/20</f>
        <v>6.5293392439160405E-3</v>
      </c>
      <c r="E17" s="118">
        <v>6235.95</v>
      </c>
      <c r="F17" s="11">
        <f t="shared" si="1"/>
        <v>-1.1318559012198538E-2</v>
      </c>
      <c r="G17" s="10">
        <f t="shared" si="2"/>
        <v>1.7847898256114578E-2</v>
      </c>
      <c r="H17" s="12"/>
      <c r="I17" s="12"/>
      <c r="J17" s="11" t="str">
        <f t="shared" si="3"/>
        <v/>
      </c>
      <c r="K17" s="12"/>
      <c r="L17" s="12"/>
      <c r="M17" s="120">
        <v>44317</v>
      </c>
      <c r="N17" s="118">
        <v>5990.98</v>
      </c>
      <c r="O17" s="11">
        <f t="shared" si="0"/>
        <v>9.3322334983694077E-2</v>
      </c>
      <c r="P17" s="12"/>
      <c r="Q17" s="12"/>
    </row>
    <row r="18" spans="1:23" ht="15.5">
      <c r="A18" s="185"/>
      <c r="B18" s="122" t="s">
        <v>16</v>
      </c>
      <c r="C18" s="12">
        <f>SUM('Price Data'!C18:V18)</f>
        <v>10140.26</v>
      </c>
      <c r="D18" s="11">
        <f>SUM('Total Return'!C18:V18)/20</f>
        <v>-1.5977242081112952E-2</v>
      </c>
      <c r="E18" s="118">
        <v>6206.81</v>
      </c>
      <c r="F18" s="11">
        <f t="shared" si="1"/>
        <v>-4.6729046897424483E-3</v>
      </c>
      <c r="G18" s="10">
        <f t="shared" si="2"/>
        <v>-1.1304337391370503E-2</v>
      </c>
      <c r="H18" s="12"/>
      <c r="I18" s="12"/>
      <c r="J18" s="11">
        <f t="shared" si="3"/>
        <v>-1.1304337391370503E-2</v>
      </c>
      <c r="K18" s="12"/>
      <c r="L18" s="12"/>
      <c r="M18" s="120">
        <v>44348</v>
      </c>
      <c r="N18" s="118">
        <v>6150.48</v>
      </c>
      <c r="O18" s="11">
        <f t="shared" si="0"/>
        <v>2.6623357113527337E-2</v>
      </c>
      <c r="P18" s="12"/>
      <c r="Q18" s="12"/>
      <c r="V18" s="130"/>
      <c r="W18" s="130" t="s">
        <v>67</v>
      </c>
    </row>
    <row r="19" spans="1:23">
      <c r="A19" s="185"/>
      <c r="B19" s="122" t="s">
        <v>17</v>
      </c>
      <c r="C19" s="12">
        <f>SUM('Price Data'!C19:V19)</f>
        <v>10155.35</v>
      </c>
      <c r="D19" s="11">
        <f>SUM('Total Return'!C19:V19)/20</f>
        <v>1.131887027677733E-2</v>
      </c>
      <c r="E19" s="118">
        <v>6267.05</v>
      </c>
      <c r="F19" s="11">
        <f t="shared" si="1"/>
        <v>9.7054686707019836E-3</v>
      </c>
      <c r="G19" s="10">
        <f t="shared" si="2"/>
        <v>1.6134016060753466E-3</v>
      </c>
      <c r="H19" s="12"/>
      <c r="I19" s="12"/>
      <c r="J19" s="11" t="str">
        <f t="shared" si="3"/>
        <v/>
      </c>
      <c r="K19" s="12"/>
      <c r="L19" s="12"/>
      <c r="M19" s="120">
        <v>44378</v>
      </c>
      <c r="N19" s="118">
        <v>6425.25</v>
      </c>
      <c r="O19" s="11">
        <f t="shared" si="0"/>
        <v>4.4674561985406092E-2</v>
      </c>
      <c r="P19" s="12"/>
      <c r="Q19" s="12"/>
      <c r="V19" s="12" t="s">
        <v>87</v>
      </c>
      <c r="W19" s="10">
        <f>'Equal Weight'!C24</f>
        <v>7.2833333333333335E-3</v>
      </c>
    </row>
    <row r="20" spans="1:23">
      <c r="A20" s="186">
        <v>2023</v>
      </c>
      <c r="B20" s="117" t="s">
        <v>18</v>
      </c>
      <c r="C20" s="12">
        <f>SUM('Price Data'!C20:V20)</f>
        <v>10173.209999999999</v>
      </c>
      <c r="D20" s="11">
        <f>SUM('Total Return'!C20:V20)/20</f>
        <v>1.0742821468069746E-2</v>
      </c>
      <c r="E20" s="118">
        <v>6216.95</v>
      </c>
      <c r="F20" s="11">
        <f t="shared" si="1"/>
        <v>-7.9941918446478581E-3</v>
      </c>
      <c r="G20" s="10">
        <f t="shared" si="2"/>
        <v>1.8737013312717606E-2</v>
      </c>
      <c r="H20" s="12"/>
      <c r="I20" s="12"/>
      <c r="J20" s="11" t="str">
        <f t="shared" si="3"/>
        <v/>
      </c>
      <c r="K20" s="12"/>
      <c r="L20" s="12"/>
      <c r="M20" s="120">
        <v>44409</v>
      </c>
      <c r="N20" s="118">
        <v>6869.24</v>
      </c>
      <c r="O20" s="11">
        <f t="shared" si="0"/>
        <v>6.9100813197930003E-2</v>
      </c>
      <c r="P20" s="12"/>
      <c r="Q20" s="12"/>
      <c r="V20" s="12" t="s">
        <v>52</v>
      </c>
      <c r="W20" s="10">
        <f>P3</f>
        <v>3.9650998191011382E-3</v>
      </c>
    </row>
    <row r="21" spans="1:23">
      <c r="A21" s="186"/>
      <c r="B21" s="117" t="s">
        <v>19</v>
      </c>
      <c r="C21" s="12">
        <f>SUM('Price Data'!C21:V21)</f>
        <v>10219.369999999999</v>
      </c>
      <c r="D21" s="11">
        <f>SUM('Total Return'!C21:V21)/20</f>
        <v>1.5156225457056421E-2</v>
      </c>
      <c r="E21" s="118">
        <v>6206.8</v>
      </c>
      <c r="F21" s="11">
        <f t="shared" si="1"/>
        <v>-1.6326333652353061E-3</v>
      </c>
      <c r="G21" s="10">
        <f t="shared" si="2"/>
        <v>1.6788858822291728E-2</v>
      </c>
      <c r="H21" s="12"/>
      <c r="I21" s="12"/>
      <c r="J21" s="11" t="str">
        <f t="shared" si="3"/>
        <v/>
      </c>
      <c r="K21" s="12"/>
      <c r="L21" s="12"/>
      <c r="M21" s="120">
        <v>44440</v>
      </c>
      <c r="N21" s="118">
        <v>7329.03</v>
      </c>
      <c r="O21" s="11">
        <f t="shared" si="0"/>
        <v>6.6934624499944681E-2</v>
      </c>
      <c r="P21" s="12"/>
      <c r="Q21" s="12"/>
      <c r="V21" s="12" t="s">
        <v>50</v>
      </c>
      <c r="W21" s="119">
        <f>L3</f>
        <v>1.1714580936407264</v>
      </c>
    </row>
    <row r="22" spans="1:23">
      <c r="A22" s="186"/>
      <c r="B22" s="117" t="s">
        <v>20</v>
      </c>
      <c r="C22" s="12">
        <f>SUM('Price Data'!C22:V22)</f>
        <v>10280.77</v>
      </c>
      <c r="D22" s="11">
        <f>SUM('Total Return'!C22:V22)/20</f>
        <v>2.8379515196844719E-2</v>
      </c>
      <c r="E22" s="118">
        <v>6262.69</v>
      </c>
      <c r="F22" s="11">
        <f t="shared" si="1"/>
        <v>9.0046400721788059E-3</v>
      </c>
      <c r="G22" s="10">
        <f t="shared" si="2"/>
        <v>1.9374875124665913E-2</v>
      </c>
      <c r="H22" s="12"/>
      <c r="I22" s="12"/>
      <c r="J22" s="11" t="str">
        <f t="shared" si="3"/>
        <v/>
      </c>
      <c r="K22" s="12"/>
      <c r="L22" s="12"/>
      <c r="M22" s="120">
        <v>44470</v>
      </c>
      <c r="N22" s="118">
        <v>7000.94</v>
      </c>
      <c r="O22" s="11">
        <f t="shared" si="0"/>
        <v>-4.4765814848622555E-2</v>
      </c>
      <c r="P22" s="12"/>
      <c r="Q22" s="12"/>
      <c r="V22" s="12" t="s">
        <v>68</v>
      </c>
      <c r="W22" s="10">
        <f>'Equal Weight'!C25</f>
        <v>7.8949069603116602E-3</v>
      </c>
    </row>
    <row r="23" spans="1:23">
      <c r="A23" s="186"/>
      <c r="B23" s="117" t="s">
        <v>21</v>
      </c>
      <c r="C23" s="12">
        <f>SUM('Price Data'!C23:V23)</f>
        <v>10305.199999999999</v>
      </c>
      <c r="D23" s="11">
        <f>SUM('Total Return'!C23:V23)/20</f>
        <v>3.4945330511216635E-3</v>
      </c>
      <c r="E23" s="118">
        <v>6339.74</v>
      </c>
      <c r="F23" s="11">
        <f t="shared" si="1"/>
        <v>1.2303019948297007E-2</v>
      </c>
      <c r="G23" s="10">
        <f t="shared" si="2"/>
        <v>-8.8084868971753435E-3</v>
      </c>
      <c r="H23" s="12"/>
      <c r="I23" s="12"/>
      <c r="J23" s="11">
        <f t="shared" si="3"/>
        <v>-8.8084868971753435E-3</v>
      </c>
      <c r="K23" s="12"/>
      <c r="L23" s="12"/>
      <c r="M23" s="120">
        <v>44501</v>
      </c>
      <c r="N23" s="118">
        <v>6703.25</v>
      </c>
      <c r="O23" s="11">
        <f t="shared" si="0"/>
        <v>-4.2521432836161943E-2</v>
      </c>
      <c r="P23" s="12"/>
      <c r="Q23" s="12"/>
      <c r="V23" s="12" t="s">
        <v>89</v>
      </c>
      <c r="W23" s="10">
        <f>'Equal Weight'!C27</f>
        <v>4.5160239590038516E-2</v>
      </c>
    </row>
    <row r="24" spans="1:23">
      <c r="A24" s="186"/>
      <c r="B24" s="117" t="s">
        <v>22</v>
      </c>
      <c r="C24" s="12">
        <f>SUM('Price Data'!C24:V24)</f>
        <v>10324.460000000001</v>
      </c>
      <c r="D24" s="11">
        <f>SUM('Total Return'!C24:V24)/20</f>
        <v>5.0869305038125215E-2</v>
      </c>
      <c r="E24" s="118">
        <v>6344.09</v>
      </c>
      <c r="F24" s="11">
        <f t="shared" si="1"/>
        <v>6.8614801237911393E-4</v>
      </c>
      <c r="G24" s="10">
        <f t="shared" si="2"/>
        <v>5.0183157025746099E-2</v>
      </c>
      <c r="H24" s="12"/>
      <c r="I24" s="12"/>
      <c r="J24" s="11" t="str">
        <f t="shared" si="3"/>
        <v/>
      </c>
      <c r="K24" s="12"/>
      <c r="L24" s="12"/>
      <c r="M24" s="120">
        <v>44531</v>
      </c>
      <c r="N24" s="118">
        <v>6756.65</v>
      </c>
      <c r="O24" s="11">
        <f t="shared" si="0"/>
        <v>7.9662850110020708E-3</v>
      </c>
      <c r="P24" s="12"/>
      <c r="Q24" s="12"/>
      <c r="V24" s="12" t="s">
        <v>54</v>
      </c>
      <c r="W24" s="10">
        <f>Q3</f>
        <v>4.7534029233586593E-2</v>
      </c>
    </row>
    <row r="25" spans="1:23">
      <c r="A25" s="186"/>
      <c r="B25" s="117" t="s">
        <v>23</v>
      </c>
      <c r="C25" s="12">
        <f>SUM('Price Data'!C25:V25)</f>
        <v>10428.039999999999</v>
      </c>
      <c r="D25" s="11">
        <f>SUM('Total Return'!C25:V25)/20</f>
        <v>3.970499396019459E-4</v>
      </c>
      <c r="E25" s="118">
        <v>6324.81</v>
      </c>
      <c r="F25" s="11">
        <f t="shared" si="1"/>
        <v>-3.0390489416133354E-3</v>
      </c>
      <c r="G25" s="10">
        <f t="shared" si="2"/>
        <v>3.4360988812152811E-3</v>
      </c>
      <c r="H25" s="12"/>
      <c r="I25" s="12"/>
      <c r="J25" s="11" t="str">
        <f t="shared" si="3"/>
        <v/>
      </c>
      <c r="K25" s="12"/>
      <c r="L25" s="12"/>
      <c r="M25" s="120">
        <v>44562</v>
      </c>
      <c r="N25" s="118">
        <v>6926.29</v>
      </c>
      <c r="O25" s="11">
        <f t="shared" si="0"/>
        <v>2.5107116692443792E-2</v>
      </c>
      <c r="P25" s="12"/>
      <c r="Q25" s="12"/>
      <c r="V25" s="12" t="s">
        <v>90</v>
      </c>
      <c r="W25" s="10">
        <f>H3</f>
        <v>1.1717600084468262E-2</v>
      </c>
    </row>
    <row r="26" spans="1:23">
      <c r="A26" s="186"/>
      <c r="B26" s="117" t="s">
        <v>24</v>
      </c>
      <c r="C26" s="12">
        <f>SUM('Price Data'!C26:V26)</f>
        <v>10334.609999999999</v>
      </c>
      <c r="D26" s="11">
        <f>SUM('Total Return'!C26:V26)/20</f>
        <v>4.5386629215528078E-3</v>
      </c>
      <c r="E26" s="118">
        <v>6299.5</v>
      </c>
      <c r="F26" s="11">
        <f t="shared" si="1"/>
        <v>-4.0017012368751626E-3</v>
      </c>
      <c r="G26" s="10">
        <f t="shared" si="2"/>
        <v>8.5403641584279703E-3</v>
      </c>
      <c r="H26" s="12"/>
      <c r="I26" s="12"/>
      <c r="J26" s="11" t="str">
        <f t="shared" si="3"/>
        <v/>
      </c>
      <c r="K26" s="12"/>
      <c r="L26" s="12"/>
      <c r="M26" s="120">
        <v>44593</v>
      </c>
      <c r="N26" s="118">
        <v>6739.44</v>
      </c>
      <c r="O26" s="11">
        <f t="shared" si="0"/>
        <v>-2.6976924154200929E-2</v>
      </c>
      <c r="P26" s="12"/>
      <c r="Q26" s="12"/>
      <c r="V26" s="12" t="s">
        <v>56</v>
      </c>
      <c r="W26" s="10">
        <f>I3</f>
        <v>5.5736557044190227E-2</v>
      </c>
    </row>
    <row r="27" spans="1:23">
      <c r="A27" s="186"/>
      <c r="B27" s="117" t="s">
        <v>25</v>
      </c>
      <c r="C27" s="12">
        <f>SUM('Price Data'!C27:V27)</f>
        <v>10494.570000000002</v>
      </c>
      <c r="D27" s="11">
        <f>SUM('Total Return'!C27:V27)/20</f>
        <v>-5.4796712521642029E-3</v>
      </c>
      <c r="E27" s="118">
        <v>6284.63</v>
      </c>
      <c r="F27" s="11">
        <f t="shared" si="1"/>
        <v>-2.360504801968393E-3</v>
      </c>
      <c r="G27" s="10">
        <f t="shared" si="2"/>
        <v>-3.1191664501958099E-3</v>
      </c>
      <c r="H27" s="12"/>
      <c r="I27" s="12"/>
      <c r="J27" s="11">
        <f t="shared" si="3"/>
        <v>-3.1191664501958099E-3</v>
      </c>
      <c r="K27" s="12"/>
      <c r="L27" s="12"/>
      <c r="M27" s="120">
        <v>44621</v>
      </c>
      <c r="N27" s="118">
        <v>6757.83</v>
      </c>
      <c r="O27" s="11">
        <f t="shared" si="0"/>
        <v>2.7287133649087059E-3</v>
      </c>
      <c r="P27" s="12"/>
      <c r="Q27" s="12"/>
      <c r="V27" s="12" t="s">
        <v>88</v>
      </c>
      <c r="W27" s="10">
        <f>K3</f>
        <v>2.9494653838836073E-2</v>
      </c>
    </row>
    <row r="28" spans="1:23">
      <c r="A28" s="186"/>
      <c r="B28" s="117" t="s">
        <v>26</v>
      </c>
      <c r="C28" s="12">
        <f>SUM('Price Data'!C28:V28)</f>
        <v>10388.439999999999</v>
      </c>
      <c r="D28" s="11">
        <f>SUM('Total Return'!C28:V28)/20</f>
        <v>3.9358988656334651E-2</v>
      </c>
      <c r="E28" s="118">
        <v>6278.66</v>
      </c>
      <c r="F28" s="11">
        <f t="shared" si="1"/>
        <v>-9.49936591334773E-4</v>
      </c>
      <c r="G28" s="10">
        <f t="shared" si="2"/>
        <v>4.0308925247669422E-2</v>
      </c>
      <c r="H28" s="12"/>
      <c r="I28" s="12"/>
      <c r="J28" s="11" t="str">
        <f t="shared" si="3"/>
        <v/>
      </c>
      <c r="K28" s="12"/>
      <c r="L28" s="12"/>
      <c r="M28" s="120">
        <v>44652</v>
      </c>
      <c r="N28" s="118">
        <v>6655.66</v>
      </c>
      <c r="O28" s="11">
        <f t="shared" si="0"/>
        <v>-1.511875853639409E-2</v>
      </c>
      <c r="P28" s="12"/>
      <c r="Q28" s="12"/>
    </row>
    <row r="29" spans="1:23">
      <c r="A29" s="186"/>
      <c r="B29" s="117" t="s">
        <v>15</v>
      </c>
      <c r="C29" s="12">
        <f>SUM('Price Data'!C29:V29)</f>
        <v>10355.1</v>
      </c>
      <c r="D29" s="11">
        <f>SUM('Total Return'!C29:V29)/20</f>
        <v>-1.0296189843151943E-2</v>
      </c>
      <c r="E29" s="118">
        <v>6223.03</v>
      </c>
      <c r="F29" s="11">
        <f t="shared" si="1"/>
        <v>-8.8601708007759791E-3</v>
      </c>
      <c r="G29" s="10">
        <f t="shared" si="2"/>
        <v>-1.436019042375964E-3</v>
      </c>
      <c r="H29" s="12"/>
      <c r="I29" s="12"/>
      <c r="J29" s="11">
        <f t="shared" si="3"/>
        <v>-1.436019042375964E-3</v>
      </c>
      <c r="K29" s="12"/>
      <c r="L29" s="12"/>
      <c r="M29" s="120">
        <v>44682</v>
      </c>
      <c r="N29" s="118">
        <v>6392.85</v>
      </c>
      <c r="O29" s="11">
        <f t="shared" si="0"/>
        <v>-3.9486692529365909E-2</v>
      </c>
      <c r="P29" s="12"/>
      <c r="Q29" s="12"/>
    </row>
    <row r="30" spans="1:23">
      <c r="A30" s="186"/>
      <c r="B30" s="117" t="s">
        <v>16</v>
      </c>
      <c r="C30" s="12">
        <f>SUM('Price Data'!C30:V30)</f>
        <v>10271.939999999999</v>
      </c>
      <c r="D30" s="11">
        <f>SUM('Total Return'!C30:V30)/20</f>
        <v>-1.2096486601251153E-2</v>
      </c>
      <c r="E30" s="118">
        <v>6246.5</v>
      </c>
      <c r="F30" s="11">
        <f t="shared" si="1"/>
        <v>3.771474667485173E-3</v>
      </c>
      <c r="G30" s="10">
        <f t="shared" si="2"/>
        <v>-1.5867961268736325E-2</v>
      </c>
      <c r="H30" s="12"/>
      <c r="I30" s="12"/>
      <c r="J30" s="11">
        <f t="shared" si="3"/>
        <v>-1.5867961268736325E-2</v>
      </c>
      <c r="K30" s="12"/>
      <c r="L30" s="12"/>
      <c r="M30" s="120">
        <v>44713</v>
      </c>
      <c r="N30" s="118">
        <v>6376.94</v>
      </c>
      <c r="O30" s="11">
        <f t="shared" si="0"/>
        <v>-2.4887178644893535E-3</v>
      </c>
      <c r="P30" s="12"/>
      <c r="Q30" s="12"/>
    </row>
    <row r="31" spans="1:23">
      <c r="A31" s="186"/>
      <c r="B31" s="117" t="s">
        <v>17</v>
      </c>
      <c r="C31" s="12">
        <f>SUM('Price Data'!C31:V31)</f>
        <v>10332.039999999999</v>
      </c>
      <c r="D31" s="11">
        <f>SUM('Total Return'!C31:V31)/20</f>
        <v>1.8387468685869737E-2</v>
      </c>
      <c r="E31" s="118">
        <v>6153.34</v>
      </c>
      <c r="F31" s="11">
        <f t="shared" si="1"/>
        <v>-1.4913951813015264E-2</v>
      </c>
      <c r="G31" s="10">
        <f t="shared" si="2"/>
        <v>3.3301420498885001E-2</v>
      </c>
      <c r="H31" s="12"/>
      <c r="I31" s="12"/>
      <c r="J31" s="11" t="str">
        <f t="shared" si="3"/>
        <v/>
      </c>
      <c r="K31" s="12"/>
      <c r="L31" s="12"/>
      <c r="M31" s="120">
        <v>44743</v>
      </c>
      <c r="N31" s="118">
        <v>6133.96</v>
      </c>
      <c r="O31" s="11">
        <f t="shared" si="0"/>
        <v>-3.8102914564038484E-2</v>
      </c>
      <c r="P31" s="12"/>
      <c r="Q31" s="12"/>
    </row>
    <row r="32" spans="1:23">
      <c r="A32" s="185">
        <v>2024</v>
      </c>
      <c r="B32" s="122" t="s">
        <v>18</v>
      </c>
      <c r="C32" s="12">
        <f>SUM('Price Data'!C32:V32)</f>
        <v>10504.199999999999</v>
      </c>
      <c r="D32" s="11">
        <f>SUM('Total Return'!C32:V32)/20</f>
        <v>-6.7469305937353022E-2</v>
      </c>
      <c r="E32" s="118">
        <v>6254.54</v>
      </c>
      <c r="F32" s="11">
        <f t="shared" si="1"/>
        <v>1.6446352712510576E-2</v>
      </c>
      <c r="G32" s="10">
        <f t="shared" si="2"/>
        <v>-8.3915658649863598E-2</v>
      </c>
      <c r="H32" s="12"/>
      <c r="I32" s="12"/>
      <c r="J32" s="11">
        <f t="shared" si="3"/>
        <v>-8.3915658649863598E-2</v>
      </c>
      <c r="K32" s="12"/>
      <c r="L32" s="12"/>
      <c r="M32" s="120">
        <v>44774</v>
      </c>
      <c r="N32" s="118">
        <v>6457.22</v>
      </c>
      <c r="O32" s="11">
        <f t="shared" si="0"/>
        <v>5.2700050212260957E-2</v>
      </c>
      <c r="P32" s="12"/>
      <c r="Q32" s="12"/>
    </row>
    <row r="33" spans="1:17">
      <c r="A33" s="185"/>
      <c r="B33" s="122" t="s">
        <v>19</v>
      </c>
      <c r="C33" s="12">
        <f>SUM('Price Data'!C33:V33)</f>
        <v>10295.700000000001</v>
      </c>
      <c r="D33" s="11">
        <f>SUM('Total Return'!C33:V33)/20</f>
        <v>3.0521133773084901E-2</v>
      </c>
      <c r="E33" s="118">
        <v>5829.7</v>
      </c>
      <c r="F33" s="11">
        <f t="shared" si="1"/>
        <v>-6.7925059236970287E-2</v>
      </c>
      <c r="G33" s="10">
        <f t="shared" si="2"/>
        <v>9.8446193010055194E-2</v>
      </c>
      <c r="H33" s="12"/>
      <c r="I33" s="12"/>
      <c r="J33" s="11" t="str">
        <f t="shared" si="3"/>
        <v/>
      </c>
      <c r="K33" s="12"/>
      <c r="L33" s="12"/>
      <c r="M33" s="120">
        <v>44805</v>
      </c>
      <c r="N33" s="118">
        <v>6515.11</v>
      </c>
      <c r="O33" s="11">
        <f t="shared" si="0"/>
        <v>8.9651583808511119E-3</v>
      </c>
      <c r="P33" s="12"/>
      <c r="Q33" s="12"/>
    </row>
    <row r="34" spans="1:17">
      <c r="A34" s="185"/>
      <c r="B34" s="122" t="s">
        <v>20</v>
      </c>
      <c r="C34" s="12">
        <f>SUM('Price Data'!C34:V34)</f>
        <v>9656.4799999999977</v>
      </c>
      <c r="D34" s="11">
        <f>SUM('Total Return'!C34:V34)/20</f>
        <v>-5.3388884735235495E-2</v>
      </c>
      <c r="E34" s="118">
        <v>5584.65</v>
      </c>
      <c r="F34" s="11">
        <f t="shared" si="1"/>
        <v>-4.2034753074772321E-2</v>
      </c>
      <c r="G34" s="10">
        <f t="shared" si="2"/>
        <v>-1.1354131660463174E-2</v>
      </c>
      <c r="H34" s="12"/>
      <c r="I34" s="12"/>
      <c r="J34" s="11">
        <f t="shared" si="3"/>
        <v>-1.1354131660463174E-2</v>
      </c>
      <c r="K34" s="12"/>
      <c r="L34" s="12"/>
      <c r="M34" s="120">
        <v>44835</v>
      </c>
      <c r="N34" s="118">
        <v>6307.34</v>
      </c>
      <c r="O34" s="11">
        <f t="shared" si="0"/>
        <v>-3.1890482278887008E-2</v>
      </c>
      <c r="P34" s="12"/>
      <c r="Q34" s="12"/>
    </row>
    <row r="35" spans="1:17">
      <c r="A35" s="185"/>
      <c r="B35" s="122" t="s">
        <v>21</v>
      </c>
      <c r="C35" s="12">
        <f>SUM('Price Data'!C35:V35)</f>
        <v>9298.7999999999993</v>
      </c>
      <c r="D35" s="11">
        <f>SUM('Total Return'!C35:V35)/20</f>
        <v>-4.0815936355167249E-3</v>
      </c>
      <c r="E35" s="118">
        <v>5251.96</v>
      </c>
      <c r="F35" s="11">
        <f t="shared" si="1"/>
        <v>-5.95722202823811E-2</v>
      </c>
      <c r="G35" s="10">
        <f t="shared" si="2"/>
        <v>5.5490626646864376E-2</v>
      </c>
      <c r="H35" s="12"/>
      <c r="I35" s="12"/>
      <c r="J35" s="11" t="str">
        <f t="shared" si="3"/>
        <v/>
      </c>
      <c r="K35" s="12"/>
      <c r="L35" s="12"/>
      <c r="M35" s="120">
        <v>44866</v>
      </c>
      <c r="N35" s="118">
        <v>6235.95</v>
      </c>
      <c r="O35" s="11">
        <f t="shared" si="0"/>
        <v>-1.1318559012198538E-2</v>
      </c>
      <c r="P35" s="12"/>
      <c r="Q35" s="12"/>
    </row>
    <row r="36" spans="1:17">
      <c r="A36" s="185"/>
      <c r="B36" s="122" t="s">
        <v>22</v>
      </c>
      <c r="C36" s="12">
        <f>SUM('Price Data'!C36:V36)</f>
        <v>8371.4399999999987</v>
      </c>
      <c r="D36" s="11">
        <f>SUM('Total Return'!C36:V36)/20</f>
        <v>-6.8541223579481531E-2</v>
      </c>
      <c r="E36" s="118">
        <v>5328.4</v>
      </c>
      <c r="F36" s="11">
        <f t="shared" si="1"/>
        <v>1.4554566295249698E-2</v>
      </c>
      <c r="G36" s="10">
        <f t="shared" si="2"/>
        <v>-8.3095789874731235E-2</v>
      </c>
      <c r="H36" s="12"/>
      <c r="I36" s="12"/>
      <c r="J36" s="11">
        <f t="shared" si="3"/>
        <v>-8.3095789874731235E-2</v>
      </c>
      <c r="K36" s="12"/>
      <c r="L36" s="12"/>
      <c r="M36" s="120">
        <v>44896</v>
      </c>
      <c r="N36" s="118">
        <v>6206.81</v>
      </c>
      <c r="O36" s="11">
        <f t="shared" si="0"/>
        <v>-4.6729046897424483E-3</v>
      </c>
      <c r="P36" s="12"/>
      <c r="Q36" s="12"/>
    </row>
    <row r="37" spans="1:17">
      <c r="A37" s="185"/>
      <c r="B37" s="122" t="s">
        <v>23</v>
      </c>
      <c r="C37" s="12">
        <f>SUM('Price Data'!C37:V37)</f>
        <v>9314.7000000000007</v>
      </c>
      <c r="D37" s="11">
        <f>SUM('Total Return'!C37:V37)/20</f>
        <v>3.7065875979204035E-2</v>
      </c>
      <c r="E37" s="118">
        <v>5280.47</v>
      </c>
      <c r="F37" s="11">
        <f t="shared" si="1"/>
        <v>-8.9951955558890823E-3</v>
      </c>
      <c r="G37" s="10">
        <f t="shared" si="2"/>
        <v>4.6061071535093118E-2</v>
      </c>
      <c r="H37" s="12"/>
      <c r="I37" s="12"/>
      <c r="J37" s="11" t="str">
        <f t="shared" si="3"/>
        <v/>
      </c>
      <c r="K37" s="12"/>
      <c r="L37" s="12"/>
      <c r="M37" s="120">
        <v>44927</v>
      </c>
      <c r="N37" s="118">
        <v>6267.05</v>
      </c>
      <c r="O37" s="11">
        <f t="shared" si="0"/>
        <v>9.7054686707019836E-3</v>
      </c>
      <c r="P37" s="12"/>
      <c r="Q37" s="12"/>
    </row>
    <row r="38" spans="1:17">
      <c r="A38" s="185"/>
      <c r="B38" s="122" t="s">
        <v>24</v>
      </c>
      <c r="C38" s="12">
        <f>SUM('Price Data'!C38:V38)</f>
        <v>9416.9299999999985</v>
      </c>
      <c r="D38" s="11">
        <f>SUM('Total Return'!C38:V38)/20</f>
        <v>-1.4178084204649205E-3</v>
      </c>
      <c r="E38" s="118">
        <v>5804.42</v>
      </c>
      <c r="F38" s="11">
        <f t="shared" si="1"/>
        <v>9.9224122095192241E-2</v>
      </c>
      <c r="G38" s="10">
        <f t="shared" si="2"/>
        <v>-0.10064193051565716</v>
      </c>
      <c r="H38" s="12"/>
      <c r="I38" s="12"/>
      <c r="J38" s="11">
        <f t="shared" si="3"/>
        <v>-0.10064193051565716</v>
      </c>
      <c r="K38" s="12"/>
      <c r="L38" s="12"/>
      <c r="M38" s="120">
        <v>44958</v>
      </c>
      <c r="N38" s="118">
        <v>6216.95</v>
      </c>
      <c r="O38" s="11">
        <f t="shared" si="0"/>
        <v>-7.9941918446478581E-3</v>
      </c>
      <c r="P38" s="12"/>
      <c r="Q38" s="12"/>
    </row>
    <row r="39" spans="1:17">
      <c r="A39" s="185"/>
      <c r="B39" s="122" t="s">
        <v>25</v>
      </c>
      <c r="C39" s="12">
        <f>SUM('Price Data'!C39:V39)</f>
        <v>9817.06</v>
      </c>
      <c r="D39" s="11">
        <f>SUM('Total Return'!C39:V39)/20</f>
        <v>0.1468049533426477</v>
      </c>
      <c r="E39" s="118">
        <v>5624.5</v>
      </c>
      <c r="F39" s="11">
        <f t="shared" si="1"/>
        <v>-3.099706775181673E-2</v>
      </c>
      <c r="G39" s="10">
        <f t="shared" si="2"/>
        <v>0.17780202109446444</v>
      </c>
      <c r="H39" s="12"/>
      <c r="I39" s="12"/>
      <c r="J39" s="11" t="str">
        <f t="shared" si="3"/>
        <v/>
      </c>
      <c r="K39" s="12"/>
      <c r="L39" s="12"/>
      <c r="M39" s="120">
        <v>44986</v>
      </c>
      <c r="N39" s="118">
        <v>6206.8</v>
      </c>
      <c r="O39" s="11">
        <f t="shared" si="0"/>
        <v>-1.6326333652353061E-3</v>
      </c>
      <c r="P39" s="12"/>
      <c r="Q39" s="12"/>
    </row>
    <row r="40" spans="1:17">
      <c r="A40" s="185"/>
      <c r="B40" s="122" t="s">
        <v>26</v>
      </c>
      <c r="C40" s="12">
        <f>SUM('Price Data'!C40:V40)</f>
        <v>9723.9699999999993</v>
      </c>
      <c r="D40" s="11">
        <f>SUM('Total Return'!C40:V40)/20</f>
        <v>-4.9932549402165446E-2</v>
      </c>
      <c r="E40" s="118">
        <v>5199.3999999999996</v>
      </c>
      <c r="F40" s="11">
        <f t="shared" si="1"/>
        <v>-7.558005156013875E-2</v>
      </c>
      <c r="G40" s="10">
        <f t="shared" si="2"/>
        <v>2.5647502157973304E-2</v>
      </c>
      <c r="H40" s="12"/>
      <c r="I40" s="12"/>
      <c r="J40" s="11" t="str">
        <f t="shared" si="3"/>
        <v/>
      </c>
      <c r="K40" s="12"/>
      <c r="L40" s="12"/>
      <c r="M40" s="120">
        <v>45017</v>
      </c>
      <c r="N40" s="118">
        <v>6262.69</v>
      </c>
      <c r="O40" s="11">
        <f t="shared" si="0"/>
        <v>9.0046400721788059E-3</v>
      </c>
      <c r="P40" s="12"/>
      <c r="Q40" s="12"/>
    </row>
    <row r="41" spans="1:17">
      <c r="A41" s="185"/>
      <c r="B41" s="122" t="s">
        <v>15</v>
      </c>
      <c r="C41" s="12">
        <f>SUM('Price Data'!C41:V41)</f>
        <v>9357.0299999999988</v>
      </c>
      <c r="D41" s="11">
        <f>SUM('Total Return'!C41:V41)/20</f>
        <v>-4.811904416122207E-2</v>
      </c>
      <c r="E41" s="118">
        <v>5192.59</v>
      </c>
      <c r="F41" s="11">
        <f t="shared" si="1"/>
        <v>-1.3097665115204622E-3</v>
      </c>
      <c r="G41" s="10">
        <f t="shared" si="2"/>
        <v>-4.6809277649701608E-2</v>
      </c>
      <c r="H41" s="12"/>
      <c r="I41" s="12"/>
      <c r="J41" s="11">
        <f t="shared" si="3"/>
        <v>-4.6809277649701608E-2</v>
      </c>
      <c r="K41" s="12"/>
      <c r="L41" s="12"/>
      <c r="M41" s="120">
        <v>45047</v>
      </c>
      <c r="N41" s="118">
        <v>6339.74</v>
      </c>
      <c r="O41" s="11">
        <f t="shared" si="0"/>
        <v>1.2303019948297007E-2</v>
      </c>
      <c r="P41" s="12"/>
      <c r="Q41" s="12"/>
    </row>
    <row r="42" spans="1:17">
      <c r="A42" s="185"/>
      <c r="B42" s="122" t="s">
        <v>16</v>
      </c>
      <c r="C42" s="12">
        <f>SUM('Price Data'!C42:V42)</f>
        <v>9164.8900000000012</v>
      </c>
      <c r="D42" s="11">
        <f>SUM('Total Return'!C42:V42)/20</f>
        <v>6.1054989999004119E-2</v>
      </c>
      <c r="E42" s="118">
        <v>5216.4399999999996</v>
      </c>
      <c r="F42" s="11">
        <f t="shared" si="1"/>
        <v>4.5930836056764452E-3</v>
      </c>
      <c r="G42" s="10">
        <f t="shared" si="2"/>
        <v>5.6461906393327675E-2</v>
      </c>
      <c r="H42" s="12"/>
      <c r="I42" s="12"/>
      <c r="J42" s="11" t="str">
        <f t="shared" si="3"/>
        <v/>
      </c>
      <c r="K42" s="12"/>
      <c r="L42" s="12"/>
      <c r="M42" s="120">
        <v>45078</v>
      </c>
      <c r="N42" s="118">
        <v>6344.09</v>
      </c>
      <c r="O42" s="11">
        <f t="shared" si="0"/>
        <v>6.8614801237911393E-4</v>
      </c>
      <c r="P42" s="12"/>
      <c r="Q42" s="12"/>
    </row>
    <row r="43" spans="1:17">
      <c r="A43" s="185"/>
      <c r="B43" s="122" t="s">
        <v>17</v>
      </c>
      <c r="C43" s="12">
        <f>SUM('Price Data'!C43:V43)</f>
        <v>9099.92</v>
      </c>
      <c r="D43" s="11">
        <f>SUM('Total Return'!C43:V43)/20</f>
        <v>-1.7734387113347658E-2</v>
      </c>
      <c r="E43" s="118">
        <v>5112.8999999999996</v>
      </c>
      <c r="F43" s="11">
        <f t="shared" si="1"/>
        <v>-1.9848785761937254E-2</v>
      </c>
      <c r="G43" s="10">
        <f t="shared" si="2"/>
        <v>2.1143986485895952E-3</v>
      </c>
      <c r="H43" s="12"/>
      <c r="I43" s="12"/>
      <c r="J43" s="11" t="str">
        <f t="shared" si="3"/>
        <v/>
      </c>
      <c r="K43" s="12"/>
      <c r="L43" s="12"/>
      <c r="M43" s="120">
        <v>45108</v>
      </c>
      <c r="N43" s="118">
        <v>6324.81</v>
      </c>
      <c r="O43" s="11">
        <f t="shared" si="0"/>
        <v>-3.0390489416133354E-3</v>
      </c>
      <c r="P43" s="12"/>
      <c r="Q43" s="12"/>
    </row>
    <row r="44" spans="1:17">
      <c r="A44" s="186">
        <v>2025</v>
      </c>
      <c r="B44" s="117" t="s">
        <v>18</v>
      </c>
      <c r="C44" s="12">
        <f>SUM('Price Data'!C44:V44)</f>
        <v>8702.25</v>
      </c>
      <c r="D44" s="11">
        <f>SUM('Total Return'!C44:V44)/20</f>
        <v>-3.0408502805278119E-2</v>
      </c>
      <c r="E44" s="118">
        <v>5247.3</v>
      </c>
      <c r="F44" s="11">
        <f t="shared" si="1"/>
        <v>2.6286451915742644E-2</v>
      </c>
      <c r="G44" s="10">
        <f t="shared" si="2"/>
        <v>-5.6694954721020763E-2</v>
      </c>
      <c r="H44" s="12"/>
      <c r="I44" s="12"/>
      <c r="J44" s="11">
        <f t="shared" si="3"/>
        <v>-5.6694954721020763E-2</v>
      </c>
      <c r="K44" s="12"/>
      <c r="L44" s="12"/>
      <c r="M44" s="120">
        <v>45139</v>
      </c>
      <c r="N44" s="118">
        <v>6299.5</v>
      </c>
      <c r="O44" s="11">
        <f t="shared" si="0"/>
        <v>-4.0017012368751626E-3</v>
      </c>
      <c r="P44" s="12"/>
      <c r="Q44" s="12"/>
    </row>
    <row r="45" spans="1:17">
      <c r="A45" s="186"/>
      <c r="B45" s="117" t="s">
        <v>19</v>
      </c>
      <c r="C45" s="12">
        <f>SUM('Price Data'!C45:V45)</f>
        <v>8690.33</v>
      </c>
      <c r="D45" s="11">
        <f>SUM('Total Return'!C45:V45)/20</f>
        <v>1.9621777924280763E-2</v>
      </c>
      <c r="E45" s="118">
        <v>5219.16</v>
      </c>
      <c r="F45" s="11">
        <f t="shared" si="1"/>
        <v>-5.3627579898233996E-3</v>
      </c>
      <c r="G45" s="10">
        <f t="shared" si="2"/>
        <v>2.4984535914104163E-2</v>
      </c>
      <c r="H45" s="12"/>
      <c r="I45" s="12"/>
      <c r="J45" s="11" t="str">
        <f t="shared" si="3"/>
        <v/>
      </c>
      <c r="K45" s="12"/>
      <c r="L45" s="12"/>
      <c r="M45" s="120">
        <v>45170</v>
      </c>
      <c r="N45" s="118">
        <v>6284.63</v>
      </c>
      <c r="O45" s="11">
        <f t="shared" si="0"/>
        <v>-2.360504801968393E-3</v>
      </c>
      <c r="P45" s="12"/>
      <c r="Q45" s="12"/>
    </row>
    <row r="46" spans="1:17">
      <c r="A46" s="186"/>
      <c r="B46" s="117" t="s">
        <v>20</v>
      </c>
      <c r="C46" s="12">
        <f>SUM('Price Data'!C46:V46)</f>
        <v>8592.4500000000007</v>
      </c>
      <c r="D46" s="11">
        <f>SUM('Total Return'!C46:V46)/20</f>
        <v>-6.4500802900960639E-3</v>
      </c>
      <c r="E46" s="118">
        <v>4917.92</v>
      </c>
      <c r="F46" s="11">
        <f t="shared" si="1"/>
        <v>-5.7718100230688421E-2</v>
      </c>
      <c r="G46" s="10">
        <f t="shared" si="2"/>
        <v>5.1268019940592359E-2</v>
      </c>
      <c r="H46" s="12"/>
      <c r="I46" s="12"/>
      <c r="J46" s="11" t="str">
        <f t="shared" si="3"/>
        <v/>
      </c>
      <c r="K46" s="12"/>
      <c r="L46" s="12"/>
      <c r="M46" s="120">
        <v>45200</v>
      </c>
      <c r="N46" s="118">
        <v>6278.66</v>
      </c>
      <c r="O46" s="11">
        <f t="shared" si="0"/>
        <v>-9.49936591334773E-4</v>
      </c>
      <c r="P46" s="12"/>
      <c r="Q46" s="12"/>
    </row>
    <row r="47" spans="1:17">
      <c r="A47" s="186"/>
      <c r="B47" s="117" t="s">
        <v>21</v>
      </c>
      <c r="C47" s="12">
        <f>SUM('Price Data'!C47:V47)</f>
        <v>8469.83</v>
      </c>
      <c r="D47" s="11">
        <f>SUM('Total Return'!C47:V47)/20</f>
        <v>-2.1251346032961325E-2</v>
      </c>
      <c r="E47" s="118">
        <v>4637.92</v>
      </c>
      <c r="F47" s="11">
        <f t="shared" si="1"/>
        <v>-5.6934639034388522E-2</v>
      </c>
      <c r="G47" s="10">
        <f t="shared" si="2"/>
        <v>3.5683293001427197E-2</v>
      </c>
      <c r="H47" s="12"/>
      <c r="I47" s="12"/>
      <c r="J47" s="11" t="str">
        <f t="shared" si="3"/>
        <v/>
      </c>
      <c r="K47" s="12"/>
      <c r="L47" s="12"/>
      <c r="M47" s="120">
        <v>45231</v>
      </c>
      <c r="N47" s="118">
        <v>6223.03</v>
      </c>
      <c r="O47" s="11">
        <f t="shared" si="0"/>
        <v>-8.8601708007759791E-3</v>
      </c>
      <c r="P47" s="12"/>
      <c r="Q47" s="12"/>
    </row>
    <row r="48" spans="1:17">
      <c r="A48" s="186"/>
      <c r="B48" s="117" t="s">
        <v>22</v>
      </c>
      <c r="C48" s="12">
        <f>SUM('Price Data'!C48:V48)</f>
        <v>7763.0400000000009</v>
      </c>
      <c r="D48" s="11">
        <f>SUM('Total Return'!C48:V48)/20</f>
        <v>-1.919128378349557E-2</v>
      </c>
      <c r="E48" s="118">
        <v>4838.3900000000003</v>
      </c>
      <c r="F48" s="11">
        <f t="shared" si="1"/>
        <v>4.3224117707938096E-2</v>
      </c>
      <c r="G48" s="10">
        <f t="shared" si="2"/>
        <v>-6.2415401491433667E-2</v>
      </c>
      <c r="H48" s="12"/>
      <c r="I48" s="12"/>
      <c r="J48" s="11">
        <f t="shared" si="3"/>
        <v>-6.2415401491433667E-2</v>
      </c>
      <c r="K48" s="12"/>
      <c r="L48" s="12"/>
      <c r="M48" s="120">
        <v>45261</v>
      </c>
      <c r="N48" s="118">
        <v>6246.5</v>
      </c>
      <c r="O48" s="11">
        <f t="shared" si="0"/>
        <v>3.771474667485173E-3</v>
      </c>
      <c r="P48" s="12"/>
      <c r="Q48" s="12"/>
    </row>
    <row r="49" spans="1:17">
      <c r="A49" s="186"/>
      <c r="B49" s="117" t="s">
        <v>23</v>
      </c>
      <c r="C49" s="12">
        <f>SUM('Price Data'!C49:V49)</f>
        <v>8075.11</v>
      </c>
      <c r="D49" s="11">
        <f>SUM('Total Return'!C49:V49)/20</f>
        <v>6.5676187513236728E-2</v>
      </c>
      <c r="E49" s="118">
        <v>5443.42</v>
      </c>
      <c r="F49" s="11">
        <f t="shared" si="1"/>
        <v>0.12504779482431133</v>
      </c>
      <c r="G49" s="10">
        <f t="shared" si="2"/>
        <v>-5.9371607311074603E-2</v>
      </c>
      <c r="H49" s="12"/>
      <c r="I49" s="12"/>
      <c r="J49" s="11">
        <f t="shared" si="3"/>
        <v>-5.9371607311074603E-2</v>
      </c>
      <c r="K49" s="12"/>
      <c r="L49" s="12"/>
      <c r="M49" s="120">
        <v>45292</v>
      </c>
      <c r="N49" s="118">
        <v>6153.34</v>
      </c>
      <c r="O49" s="11">
        <f t="shared" si="0"/>
        <v>-1.4913951813015264E-2</v>
      </c>
      <c r="P49" s="12"/>
      <c r="Q49" s="12"/>
    </row>
    <row r="50" spans="1:17">
      <c r="A50" s="186"/>
      <c r="B50" s="117" t="s">
        <v>24</v>
      </c>
      <c r="C50" s="12">
        <f>SUM('Price Data'!C50:V50)</f>
        <v>8741.16</v>
      </c>
      <c r="D50" s="11">
        <f>SUM('Total Return'!C50:V50)/20</f>
        <v>0.12017749961598148</v>
      </c>
      <c r="E50" s="118">
        <v>5594.39</v>
      </c>
      <c r="F50" s="11">
        <f t="shared" si="1"/>
        <v>2.7734402269161712E-2</v>
      </c>
      <c r="G50" s="10">
        <f t="shared" si="2"/>
        <v>9.2443097346819769E-2</v>
      </c>
      <c r="H50" s="12"/>
      <c r="I50" s="12"/>
      <c r="J50" s="11" t="str">
        <f t="shared" si="3"/>
        <v/>
      </c>
      <c r="K50" s="12"/>
      <c r="L50" s="12"/>
      <c r="M50" s="120">
        <v>45323</v>
      </c>
      <c r="N50" s="118">
        <v>6254.54</v>
      </c>
      <c r="O50" s="11">
        <f t="shared" si="0"/>
        <v>1.6446352712510576E-2</v>
      </c>
      <c r="P50" s="12"/>
      <c r="Q50" s="12"/>
    </row>
    <row r="51" spans="1:17">
      <c r="A51" s="186"/>
      <c r="B51" s="117" t="s">
        <v>25</v>
      </c>
      <c r="C51" s="12">
        <f>SUM('Price Data'!C51:V51)</f>
        <v>8944.34</v>
      </c>
      <c r="D51" s="11">
        <f>SUM('Total Return'!C51:V51)/20</f>
        <v>5.0869683581171242E-2</v>
      </c>
      <c r="E51" s="118">
        <v>5415.79</v>
      </c>
      <c r="F51" s="11">
        <f t="shared" si="1"/>
        <v>-3.1924838990488751E-2</v>
      </c>
      <c r="G51" s="10">
        <f t="shared" si="2"/>
        <v>8.2794522571659993E-2</v>
      </c>
      <c r="H51" s="12"/>
      <c r="I51" s="12"/>
      <c r="J51" s="11" t="str">
        <f t="shared" si="3"/>
        <v/>
      </c>
      <c r="K51" s="12"/>
      <c r="L51" s="12"/>
      <c r="M51" s="120">
        <v>45352</v>
      </c>
      <c r="N51" s="118">
        <v>5829.7</v>
      </c>
      <c r="O51" s="11">
        <f t="shared" si="0"/>
        <v>-6.7925059236970287E-2</v>
      </c>
      <c r="P51" s="12"/>
      <c r="Q51" s="12"/>
    </row>
    <row r="52" spans="1:17">
      <c r="A52" s="186"/>
      <c r="B52" s="117" t="s">
        <v>26</v>
      </c>
      <c r="C52" s="12">
        <f>SUM('Price Data'!C52:V52)</f>
        <v>8758.65</v>
      </c>
      <c r="D52" s="11">
        <f>SUM('Total Return'!C52:V52)/20</f>
        <v>-2.066161321750213E-2</v>
      </c>
      <c r="E52" s="118">
        <v>5122.22</v>
      </c>
      <c r="F52" s="11">
        <f t="shared" si="1"/>
        <v>-5.4206311544576086E-2</v>
      </c>
      <c r="G52" s="10">
        <f t="shared" si="2"/>
        <v>3.3544698327073956E-2</v>
      </c>
      <c r="H52" s="12"/>
      <c r="I52" s="12"/>
      <c r="J52" s="11" t="str">
        <f t="shared" si="3"/>
        <v/>
      </c>
      <c r="K52" s="12"/>
      <c r="L52" s="12"/>
      <c r="M52" s="120">
        <v>45383</v>
      </c>
      <c r="N52" s="118">
        <v>5584.65</v>
      </c>
      <c r="O52" s="11">
        <f t="shared" si="0"/>
        <v>-4.2034753074772321E-2</v>
      </c>
      <c r="P52" s="12"/>
      <c r="Q52" s="12"/>
    </row>
    <row r="53" spans="1:17">
      <c r="A53" s="186"/>
      <c r="B53" s="117" t="s">
        <v>15</v>
      </c>
      <c r="C53" s="12">
        <f>SUM('Price Data'!C53:V53)</f>
        <v>8690.92</v>
      </c>
      <c r="D53" s="11">
        <f>SUM('Total Return'!C53:V53)/20</f>
        <v>-2.6926466453119503E-2</v>
      </c>
      <c r="E53" s="118">
        <v>4978.7700000000004</v>
      </c>
      <c r="F53" s="11">
        <f t="shared" si="1"/>
        <v>-2.8005435143355774E-2</v>
      </c>
      <c r="G53" s="10">
        <f t="shared" si="2"/>
        <v>1.0789686902362705E-3</v>
      </c>
      <c r="H53" s="12"/>
      <c r="I53" s="12"/>
      <c r="J53" s="11" t="str">
        <f t="shared" si="3"/>
        <v/>
      </c>
      <c r="K53" s="12"/>
      <c r="L53" s="12"/>
      <c r="M53" s="120">
        <v>45413</v>
      </c>
      <c r="N53" s="118">
        <v>5251.96</v>
      </c>
      <c r="O53" s="11">
        <f t="shared" si="0"/>
        <v>-5.95722202823811E-2</v>
      </c>
      <c r="P53" s="12"/>
      <c r="Q53" s="12"/>
    </row>
    <row r="54" spans="1:17">
      <c r="A54" s="186"/>
      <c r="B54" s="117" t="s">
        <v>16</v>
      </c>
      <c r="C54" s="12">
        <f>SUM('Price Data'!C54:V54)</f>
        <v>8446.6200000000008</v>
      </c>
      <c r="D54" s="11">
        <f>SUM('Total Return'!C54:V54)/20</f>
        <v>-3.0447834245039475E-2</v>
      </c>
      <c r="E54" s="118">
        <v>4865.34</v>
      </c>
      <c r="F54" s="11">
        <f t="shared" si="1"/>
        <v>-2.2782735494911451E-2</v>
      </c>
      <c r="G54" s="10">
        <f t="shared" si="2"/>
        <v>-7.6650987501280243E-3</v>
      </c>
      <c r="H54" s="12"/>
      <c r="I54" s="12"/>
      <c r="J54" s="11">
        <f t="shared" si="3"/>
        <v>-7.6650987501280243E-3</v>
      </c>
      <c r="K54" s="12"/>
      <c r="L54" s="12"/>
      <c r="M54" s="120">
        <v>45444</v>
      </c>
      <c r="N54" s="118">
        <v>5328.4</v>
      </c>
      <c r="O54" s="11">
        <f t="shared" si="0"/>
        <v>1.4554566295249698E-2</v>
      </c>
      <c r="P54" s="12"/>
      <c r="Q54" s="12"/>
    </row>
    <row r="55" spans="1:17">
      <c r="A55" s="186"/>
      <c r="B55" s="117" t="s">
        <v>17</v>
      </c>
      <c r="C55" s="12">
        <f>SUM('Price Data'!C55:V55)</f>
        <v>8399.7699999999986</v>
      </c>
      <c r="D55" s="11">
        <f>SUM('Total Return'!C55:V55)/20</f>
        <v>-9.7179353817661452E-3</v>
      </c>
      <c r="E55" s="118">
        <v>5154.3100000000004</v>
      </c>
      <c r="F55" s="11">
        <f t="shared" si="1"/>
        <v>5.9393588115116365E-2</v>
      </c>
      <c r="G55" s="10">
        <f t="shared" si="2"/>
        <v>-6.9111523496882515E-2</v>
      </c>
      <c r="H55" s="12"/>
      <c r="I55" s="12"/>
      <c r="J55" s="11">
        <f t="shared" si="3"/>
        <v>-6.9111523496882515E-2</v>
      </c>
      <c r="K55" s="12"/>
      <c r="L55" s="12"/>
      <c r="M55" s="120">
        <v>45474</v>
      </c>
      <c r="N55" s="118">
        <v>5280.47</v>
      </c>
      <c r="O55" s="11">
        <f t="shared" si="0"/>
        <v>-8.9951955558890823E-3</v>
      </c>
      <c r="P55" s="12"/>
      <c r="Q55" s="12"/>
    </row>
    <row r="56" spans="1:17">
      <c r="A56" s="185">
        <v>2026</v>
      </c>
      <c r="B56" s="122" t="s">
        <v>18</v>
      </c>
      <c r="C56" s="12">
        <f>SUM('Price Data'!C56:V56)</f>
        <v>8738.15</v>
      </c>
      <c r="D56" s="11">
        <f>SUM('Total Return'!C56:V56)/20</f>
        <v>7.9673723724833681E-2</v>
      </c>
      <c r="E56" s="118">
        <v>5600.27</v>
      </c>
      <c r="F56" s="11">
        <f t="shared" si="1"/>
        <v>8.6521765279930773E-2</v>
      </c>
      <c r="G56" s="10">
        <f t="shared" si="2"/>
        <v>-6.8480415550970924E-3</v>
      </c>
      <c r="H56" s="12"/>
      <c r="I56" s="12"/>
      <c r="J56" s="11">
        <f t="shared" si="3"/>
        <v>-6.8480415550970924E-3</v>
      </c>
      <c r="K56" s="12"/>
      <c r="L56" s="12"/>
      <c r="M56" s="120">
        <v>45505</v>
      </c>
      <c r="N56" s="118">
        <v>5804.42</v>
      </c>
      <c r="O56" s="11">
        <f t="shared" si="0"/>
        <v>9.9224122095192241E-2</v>
      </c>
      <c r="P56" s="12"/>
      <c r="Q56" s="12"/>
    </row>
    <row r="57" spans="1:17">
      <c r="A57" s="185"/>
      <c r="B57" s="122" t="s">
        <v>19</v>
      </c>
      <c r="C57" s="12">
        <f>SUM('Price Data'!C57:V57)</f>
        <v>9038.7899999999991</v>
      </c>
      <c r="D57" s="11">
        <f>SUM('Total Return'!C57:V57)/20</f>
        <v>5.3710658564885994E-2</v>
      </c>
      <c r="E57" s="118">
        <v>5178.3100000000004</v>
      </c>
      <c r="F57" s="11">
        <f t="shared" si="1"/>
        <v>-7.5346367228722899E-2</v>
      </c>
      <c r="G57" s="10">
        <f t="shared" si="2"/>
        <v>0.12905702579360889</v>
      </c>
      <c r="H57" s="12"/>
      <c r="I57" s="12"/>
      <c r="J57" s="11" t="str">
        <f t="shared" si="3"/>
        <v/>
      </c>
      <c r="K57" s="12"/>
      <c r="L57" s="12"/>
      <c r="M57" s="120">
        <v>45536</v>
      </c>
      <c r="N57" s="118">
        <v>5624.5</v>
      </c>
      <c r="O57" s="11">
        <f t="shared" si="0"/>
        <v>-3.099706775181673E-2</v>
      </c>
      <c r="P57" s="12"/>
      <c r="Q57" s="12"/>
    </row>
    <row r="58" spans="1:17">
      <c r="A58" s="185"/>
      <c r="B58" s="122" t="s">
        <v>20</v>
      </c>
      <c r="C58" s="12">
        <f>SUM('Price Data'!C58:V58)</f>
        <v>8681.9600000000009</v>
      </c>
      <c r="D58" s="11">
        <f>SUM('Total Return'!C58:V58)/20</f>
        <v>-5.7923002101592999E-2</v>
      </c>
      <c r="E58" s="118">
        <v>5286.87</v>
      </c>
      <c r="F58" s="11">
        <f t="shared" si="1"/>
        <v>2.0964368683991395E-2</v>
      </c>
      <c r="G58" s="10">
        <f t="shared" si="2"/>
        <v>-7.8887370785584388E-2</v>
      </c>
      <c r="H58" s="12"/>
      <c r="I58" s="12"/>
      <c r="J58" s="11">
        <f t="shared" si="3"/>
        <v>-7.8887370785584388E-2</v>
      </c>
      <c r="K58" s="12"/>
      <c r="L58" s="12"/>
      <c r="M58" s="120">
        <v>45566</v>
      </c>
      <c r="N58" s="118">
        <v>5199.3999999999996</v>
      </c>
      <c r="O58" s="11">
        <f t="shared" si="0"/>
        <v>-7.558005156013875E-2</v>
      </c>
      <c r="P58" s="12"/>
      <c r="Q58" s="12"/>
    </row>
    <row r="59" spans="1:17">
      <c r="A59" s="185"/>
      <c r="B59" s="122" t="s">
        <v>21</v>
      </c>
      <c r="C59" s="12">
        <f>SUM('Price Data'!C59:V59)</f>
        <v>8798.5499999999993</v>
      </c>
      <c r="D59" s="11">
        <f>SUM('Total Return'!C59:V59)/20</f>
        <v>5.9620036451300054E-2</v>
      </c>
      <c r="E59" s="118">
        <v>5335.87</v>
      </c>
      <c r="F59" s="11">
        <f t="shared" si="1"/>
        <v>9.2682437812921445E-3</v>
      </c>
      <c r="G59" s="10">
        <f t="shared" si="2"/>
        <v>5.035179267000791E-2</v>
      </c>
      <c r="H59" s="12"/>
      <c r="I59" s="12"/>
      <c r="J59" s="11" t="str">
        <f t="shared" si="3"/>
        <v/>
      </c>
      <c r="K59" s="12"/>
      <c r="L59" s="12"/>
      <c r="M59" s="120">
        <v>45597</v>
      </c>
      <c r="N59" s="118">
        <v>5192.59</v>
      </c>
      <c r="O59" s="11">
        <f t="shared" si="0"/>
        <v>-1.3097665115204622E-3</v>
      </c>
      <c r="P59" s="12"/>
      <c r="Q59" s="12"/>
    </row>
    <row r="60" spans="1:17">
      <c r="A60" s="185"/>
      <c r="B60" s="122" t="s">
        <v>22</v>
      </c>
      <c r="C60" s="12">
        <f>SUM('Price Data'!C60:V60)</f>
        <v>8654.2999999999993</v>
      </c>
      <c r="D60" s="11">
        <f>SUM('Total Return'!C60:V60)/20</f>
        <v>2.0248636544746033E-2</v>
      </c>
      <c r="E60" s="118">
        <v>5762.83</v>
      </c>
      <c r="F60" s="11">
        <f t="shared" si="1"/>
        <v>8.0016941941988856E-2</v>
      </c>
      <c r="G60" s="10">
        <f t="shared" si="2"/>
        <v>-5.9768305397242823E-2</v>
      </c>
      <c r="H60" s="12"/>
      <c r="I60" s="12"/>
      <c r="J60" s="11">
        <f t="shared" si="3"/>
        <v>-5.9768305397242823E-2</v>
      </c>
      <c r="K60" s="12"/>
      <c r="L60" s="12"/>
      <c r="M60" s="120">
        <v>45627</v>
      </c>
      <c r="N60" s="118">
        <v>5216.4399999999996</v>
      </c>
      <c r="O60" s="11">
        <f t="shared" si="0"/>
        <v>4.5930836056764452E-3</v>
      </c>
      <c r="P60" s="12"/>
      <c r="Q60" s="12"/>
    </row>
    <row r="61" spans="1:17">
      <c r="A61" s="185"/>
      <c r="B61" s="122" t="s">
        <v>23</v>
      </c>
      <c r="C61" s="12">
        <f>SUM('Price Data'!C61:V61)</f>
        <v>8835.2000000000007</v>
      </c>
      <c r="D61" s="11">
        <f>SUM('Total Return'!C61:V61)/20</f>
        <v>0.10337317193666803</v>
      </c>
      <c r="E61" s="118">
        <v>5895.58</v>
      </c>
      <c r="F61" s="11">
        <f t="shared" si="1"/>
        <v>2.3035557182842458E-2</v>
      </c>
      <c r="G61" s="10">
        <f t="shared" si="2"/>
        <v>8.0337614753825573E-2</v>
      </c>
      <c r="H61" s="12"/>
      <c r="I61" s="12"/>
      <c r="J61" s="11" t="str">
        <f t="shared" si="3"/>
        <v/>
      </c>
      <c r="K61" s="12"/>
      <c r="L61" s="12"/>
      <c r="M61" s="120">
        <v>45658</v>
      </c>
      <c r="N61" s="118">
        <v>5112.8999999999996</v>
      </c>
      <c r="O61" s="11">
        <f t="shared" si="0"/>
        <v>-1.9848785761937254E-2</v>
      </c>
      <c r="P61" s="12"/>
      <c r="Q61" s="12"/>
    </row>
    <row r="62" spans="1:17">
      <c r="A62" s="185"/>
      <c r="B62" s="122" t="s">
        <v>24</v>
      </c>
      <c r="C62" s="12">
        <f>SUM('Price Data'!C62:V62)</f>
        <v>8719.3000000000011</v>
      </c>
      <c r="D62" s="11">
        <f>SUM('Total Return'!C62:V62)/20</f>
        <v>-3.7105423618599568E-3</v>
      </c>
      <c r="E62" s="118">
        <v>5598.08</v>
      </c>
      <c r="F62" s="11">
        <f t="shared" si="1"/>
        <v>-5.0461532198698006E-2</v>
      </c>
      <c r="G62" s="10">
        <f t="shared" si="2"/>
        <v>4.675098983683805E-2</v>
      </c>
      <c r="H62" s="12"/>
      <c r="I62" s="12"/>
      <c r="J62" s="11" t="str">
        <f t="shared" si="3"/>
        <v/>
      </c>
      <c r="K62" s="12"/>
      <c r="L62" s="12"/>
      <c r="M62" s="120">
        <v>45689</v>
      </c>
      <c r="N62" s="118">
        <v>5247.3</v>
      </c>
      <c r="O62" s="11">
        <f t="shared" si="0"/>
        <v>2.6286451915742644E-2</v>
      </c>
      <c r="P62" s="12"/>
      <c r="Q62" s="12"/>
    </row>
    <row r="63" spans="1:17">
      <c r="A63" s="185"/>
      <c r="B63" s="122" t="s">
        <v>25</v>
      </c>
      <c r="C63" s="12">
        <f>SUM('Price Data'!C63:V63)</f>
        <v>8544.0999999999985</v>
      </c>
      <c r="D63" s="11">
        <f>SUM('Total Return'!C63:V63)/20</f>
        <v>-5.6369402640881514E-2</v>
      </c>
      <c r="E63" s="118">
        <v>5550.44</v>
      </c>
      <c r="F63" s="11">
        <f t="shared" si="1"/>
        <v>-8.5100605922030989E-3</v>
      </c>
      <c r="G63" s="10">
        <f t="shared" si="2"/>
        <v>-4.7859342048678415E-2</v>
      </c>
      <c r="H63" s="12"/>
      <c r="I63" s="12"/>
      <c r="J63" s="11">
        <f t="shared" si="3"/>
        <v>-4.7859342048678415E-2</v>
      </c>
      <c r="K63" s="12"/>
      <c r="L63" s="12"/>
      <c r="M63" s="120">
        <v>45717</v>
      </c>
      <c r="N63" s="118">
        <v>5219.16</v>
      </c>
      <c r="O63" s="11">
        <f t="shared" si="0"/>
        <v>-5.3627579898233996E-3</v>
      </c>
      <c r="P63" s="12"/>
      <c r="Q63" s="12"/>
    </row>
    <row r="64" spans="1:17">
      <c r="M64" s="120">
        <v>45748</v>
      </c>
      <c r="N64" s="118">
        <v>4917.92</v>
      </c>
      <c r="O64" s="11">
        <f t="shared" si="0"/>
        <v>-5.7718100230688421E-2</v>
      </c>
      <c r="P64" s="12"/>
      <c r="Q64" s="12"/>
    </row>
    <row r="65" spans="13:17">
      <c r="M65" s="120">
        <v>45778</v>
      </c>
      <c r="N65" s="118">
        <v>4637.92</v>
      </c>
      <c r="O65" s="11">
        <f t="shared" si="0"/>
        <v>-5.6934639034388522E-2</v>
      </c>
      <c r="P65" s="12"/>
      <c r="Q65" s="12"/>
    </row>
    <row r="66" spans="13:17">
      <c r="M66" s="120">
        <v>45809</v>
      </c>
      <c r="N66" s="118">
        <v>4838.3900000000003</v>
      </c>
      <c r="O66" s="11">
        <f t="shared" si="0"/>
        <v>4.3224117707938096E-2</v>
      </c>
      <c r="P66" s="12"/>
      <c r="Q66" s="12"/>
    </row>
    <row r="67" spans="13:17">
      <c r="M67" s="120">
        <v>45839</v>
      </c>
      <c r="N67" s="118">
        <v>5443.42</v>
      </c>
      <c r="O67" s="11">
        <f t="shared" si="0"/>
        <v>0.12504779482431133</v>
      </c>
      <c r="P67" s="12"/>
      <c r="Q67" s="12"/>
    </row>
    <row r="68" spans="13:17">
      <c r="M68" s="120">
        <v>45870</v>
      </c>
      <c r="N68" s="118">
        <v>5594.39</v>
      </c>
      <c r="O68" s="11">
        <f t="shared" ref="O68:O80" si="4">(N68-N67)/N67</f>
        <v>2.7734402269161712E-2</v>
      </c>
      <c r="P68" s="12"/>
      <c r="Q68" s="12"/>
    </row>
    <row r="69" spans="13:17">
      <c r="M69" s="120">
        <v>45901</v>
      </c>
      <c r="N69" s="118">
        <v>5415.79</v>
      </c>
      <c r="O69" s="11">
        <f t="shared" si="4"/>
        <v>-3.1924838990488751E-2</v>
      </c>
      <c r="P69" s="12"/>
      <c r="Q69" s="12"/>
    </row>
    <row r="70" spans="13:17">
      <c r="M70" s="120">
        <v>45931</v>
      </c>
      <c r="N70" s="118">
        <v>5122.22</v>
      </c>
      <c r="O70" s="11">
        <f t="shared" si="4"/>
        <v>-5.4206311544576086E-2</v>
      </c>
      <c r="P70" s="12"/>
      <c r="Q70" s="12"/>
    </row>
    <row r="71" spans="13:17">
      <c r="M71" s="120">
        <v>45962</v>
      </c>
      <c r="N71" s="118">
        <v>4978.7700000000004</v>
      </c>
      <c r="O71" s="11">
        <f t="shared" si="4"/>
        <v>-2.8005435143355774E-2</v>
      </c>
      <c r="P71" s="12"/>
      <c r="Q71" s="12"/>
    </row>
    <row r="72" spans="13:17">
      <c r="M72" s="120">
        <v>45992</v>
      </c>
      <c r="N72" s="118">
        <v>4865.34</v>
      </c>
      <c r="O72" s="11">
        <f t="shared" si="4"/>
        <v>-2.2782735494911451E-2</v>
      </c>
      <c r="P72" s="12"/>
      <c r="Q72" s="12"/>
    </row>
    <row r="73" spans="13:17">
      <c r="M73" s="120">
        <v>46023</v>
      </c>
      <c r="N73" s="118">
        <v>5154.3100000000004</v>
      </c>
      <c r="O73" s="11">
        <f t="shared" si="4"/>
        <v>5.9393588115116365E-2</v>
      </c>
      <c r="P73" s="12"/>
      <c r="Q73" s="12"/>
    </row>
    <row r="74" spans="13:17">
      <c r="M74" s="120">
        <v>46054</v>
      </c>
      <c r="N74" s="118">
        <v>5600.27</v>
      </c>
      <c r="O74" s="11">
        <f t="shared" si="4"/>
        <v>8.6521765279930773E-2</v>
      </c>
      <c r="P74" s="12"/>
      <c r="Q74" s="12"/>
    </row>
    <row r="75" spans="13:17">
      <c r="M75" s="120">
        <v>46082</v>
      </c>
      <c r="N75" s="118">
        <v>5178.3100000000004</v>
      </c>
      <c r="O75" s="11">
        <f t="shared" si="4"/>
        <v>-7.5346367228722899E-2</v>
      </c>
      <c r="P75" s="12"/>
      <c r="Q75" s="12"/>
    </row>
    <row r="76" spans="13:17">
      <c r="M76" s="120">
        <v>46113</v>
      </c>
      <c r="N76" s="118">
        <v>5286.87</v>
      </c>
      <c r="O76" s="11">
        <f t="shared" si="4"/>
        <v>2.0964368683991395E-2</v>
      </c>
      <c r="P76" s="12"/>
      <c r="Q76" s="12"/>
    </row>
    <row r="77" spans="13:17">
      <c r="M77" s="120">
        <v>46143</v>
      </c>
      <c r="N77" s="118">
        <v>5335.87</v>
      </c>
      <c r="O77" s="11">
        <f t="shared" si="4"/>
        <v>9.2682437812921445E-3</v>
      </c>
      <c r="P77" s="12"/>
      <c r="Q77" s="12"/>
    </row>
    <row r="78" spans="13:17">
      <c r="M78" s="120">
        <v>46174</v>
      </c>
      <c r="N78" s="118">
        <v>5762.83</v>
      </c>
      <c r="O78" s="11">
        <f t="shared" si="4"/>
        <v>8.0016941941988856E-2</v>
      </c>
      <c r="P78" s="12"/>
      <c r="Q78" s="12"/>
    </row>
    <row r="79" spans="13:17">
      <c r="M79" s="120">
        <v>46204</v>
      </c>
      <c r="N79" s="118">
        <v>5895.58</v>
      </c>
      <c r="O79" s="11">
        <f t="shared" si="4"/>
        <v>2.3035557182842458E-2</v>
      </c>
      <c r="P79" s="12"/>
      <c r="Q79" s="12"/>
    </row>
    <row r="80" spans="13:17">
      <c r="M80" s="120">
        <v>46235</v>
      </c>
      <c r="N80" s="118">
        <v>5598.08</v>
      </c>
      <c r="O80" s="11">
        <f t="shared" si="4"/>
        <v>-5.0461532198698006E-2</v>
      </c>
      <c r="P80" s="12"/>
      <c r="Q80" s="12"/>
    </row>
    <row r="81" spans="5:13">
      <c r="M81" s="116"/>
    </row>
    <row r="82" spans="5:13" ht="15.5">
      <c r="E82" s="111" t="s">
        <v>133</v>
      </c>
      <c r="F82" s="112" t="s">
        <v>41</v>
      </c>
      <c r="G82" s="112" t="s">
        <v>42</v>
      </c>
      <c r="H82" s="112" t="s">
        <v>43</v>
      </c>
      <c r="I82" s="112"/>
      <c r="J82" s="112" t="s">
        <v>64</v>
      </c>
      <c r="K82" s="112" t="s">
        <v>65</v>
      </c>
    </row>
    <row r="83" spans="5:13">
      <c r="E83" s="182" t="s">
        <v>12</v>
      </c>
      <c r="F83" s="78" t="s">
        <v>127</v>
      </c>
      <c r="G83" s="62">
        <v>2.7526427991102449E-2</v>
      </c>
      <c r="H83" s="64">
        <v>0.24449435289891172</v>
      </c>
      <c r="I83" s="79"/>
      <c r="J83" s="80"/>
      <c r="K83" s="81"/>
    </row>
    <row r="84" spans="5:13">
      <c r="E84" s="183"/>
      <c r="F84" s="82" t="s">
        <v>105</v>
      </c>
      <c r="G84" s="62">
        <v>1.2711610928648181E-2</v>
      </c>
      <c r="H84" s="64">
        <v>0</v>
      </c>
      <c r="I84" s="74"/>
      <c r="J84" s="83">
        <f>(H83+H84)/H103</f>
        <v>0.24449459522878941</v>
      </c>
      <c r="K84" s="77">
        <f>G83*H83+G84*H84</f>
        <v>6.7300561993030835E-3</v>
      </c>
    </row>
    <row r="85" spans="5:13">
      <c r="E85" s="182" t="s">
        <v>108</v>
      </c>
      <c r="F85" s="78" t="s">
        <v>106</v>
      </c>
      <c r="G85" s="62">
        <v>1.2891114232266434E-2</v>
      </c>
      <c r="H85" s="64">
        <v>0</v>
      </c>
      <c r="I85" s="79"/>
      <c r="J85" s="80"/>
      <c r="K85" s="81"/>
    </row>
    <row r="86" spans="5:13">
      <c r="E86" s="183"/>
      <c r="F86" s="82" t="s">
        <v>107</v>
      </c>
      <c r="G86" s="62">
        <v>-2.179111334745608E-3</v>
      </c>
      <c r="H86" s="64">
        <v>0</v>
      </c>
      <c r="I86" s="74"/>
      <c r="J86" s="83">
        <f>(H85+H86)/H103</f>
        <v>0</v>
      </c>
      <c r="K86" s="77">
        <f>G85*H85+G86*H86</f>
        <v>0</v>
      </c>
    </row>
    <row r="87" spans="5:13">
      <c r="E87" s="182" t="s">
        <v>32</v>
      </c>
      <c r="F87" s="78" t="s">
        <v>109</v>
      </c>
      <c r="G87" s="62">
        <v>3.2061137995684033E-3</v>
      </c>
      <c r="H87" s="64">
        <v>0</v>
      </c>
      <c r="I87" s="79"/>
      <c r="J87" s="80"/>
      <c r="K87" s="81"/>
    </row>
    <row r="88" spans="5:13">
      <c r="E88" s="183"/>
      <c r="F88" s="82" t="s">
        <v>110</v>
      </c>
      <c r="G88" s="62">
        <v>1.6590918261279002E-5</v>
      </c>
      <c r="H88" s="64">
        <v>0</v>
      </c>
      <c r="I88" s="74"/>
      <c r="J88" s="83">
        <f>(H87+H88)/H103</f>
        <v>0</v>
      </c>
      <c r="K88" s="77">
        <f>G87*H87+G88*H88</f>
        <v>0</v>
      </c>
    </row>
    <row r="89" spans="5:13">
      <c r="E89" s="182" t="s">
        <v>30</v>
      </c>
      <c r="F89" s="78" t="s">
        <v>111</v>
      </c>
      <c r="G89" s="62">
        <v>1.9922484551896161E-2</v>
      </c>
      <c r="H89" s="64">
        <v>6.3105008505941806E-2</v>
      </c>
      <c r="I89" s="79"/>
      <c r="J89" s="80"/>
      <c r="K89" s="81"/>
    </row>
    <row r="90" spans="5:13">
      <c r="E90" s="184"/>
      <c r="F90" s="70" t="s">
        <v>112</v>
      </c>
      <c r="G90" s="62">
        <v>4.1872316759451703E-2</v>
      </c>
      <c r="H90" s="64">
        <v>0.41045447651507599</v>
      </c>
      <c r="J90" s="71"/>
      <c r="K90" s="72"/>
    </row>
    <row r="91" spans="5:13">
      <c r="E91" s="183"/>
      <c r="F91" s="82" t="s">
        <v>113</v>
      </c>
      <c r="G91" s="62">
        <v>4.3521431989681182E-3</v>
      </c>
      <c r="H91" s="64">
        <v>0</v>
      </c>
      <c r="I91" s="74"/>
      <c r="J91" s="83">
        <f>(H89+H90+H91)/H103</f>
        <v>0.47355995438814519</v>
      </c>
      <c r="K91" s="77">
        <f>G89*H89+G90*H90+G91*H91</f>
        <v>1.8443888413081092E-2</v>
      </c>
    </row>
    <row r="92" spans="5:13">
      <c r="E92" s="113" t="s">
        <v>115</v>
      </c>
      <c r="F92" s="84" t="s">
        <v>114</v>
      </c>
      <c r="G92" s="62">
        <v>-4.6500704701170738E-3</v>
      </c>
      <c r="H92" s="64">
        <v>0</v>
      </c>
      <c r="I92" s="85"/>
      <c r="J92" s="86">
        <f>H92/$H$103</f>
        <v>0</v>
      </c>
      <c r="K92" s="75">
        <f>G92*H92</f>
        <v>0</v>
      </c>
    </row>
    <row r="93" spans="5:13">
      <c r="E93" s="113" t="s">
        <v>35</v>
      </c>
      <c r="F93" s="84" t="s">
        <v>116</v>
      </c>
      <c r="G93" s="62">
        <v>2.1240527279640105E-2</v>
      </c>
      <c r="H93" s="64">
        <v>0.28194517093391663</v>
      </c>
      <c r="I93" s="85"/>
      <c r="J93" s="86">
        <f t="shared" ref="J93:J95" si="5">H93/$H$103</f>
        <v>0.28194545038306534</v>
      </c>
      <c r="K93" s="75">
        <f t="shared" ref="K93:K95" si="6">G93*H93</f>
        <v>5.9886640945846486E-3</v>
      </c>
    </row>
    <row r="94" spans="5:13">
      <c r="E94" s="113" t="s">
        <v>27</v>
      </c>
      <c r="F94" s="84" t="s">
        <v>117</v>
      </c>
      <c r="G94" s="62">
        <v>-5.5687618909142271E-3</v>
      </c>
      <c r="H94" s="64">
        <v>0</v>
      </c>
      <c r="I94" s="85"/>
      <c r="J94" s="86">
        <f t="shared" si="5"/>
        <v>0</v>
      </c>
      <c r="K94" s="75">
        <f t="shared" si="6"/>
        <v>0</v>
      </c>
    </row>
    <row r="95" spans="5:13">
      <c r="E95" s="113" t="s">
        <v>34</v>
      </c>
      <c r="F95" s="84" t="s">
        <v>36</v>
      </c>
      <c r="G95" s="62">
        <v>1.5390253792169598E-3</v>
      </c>
      <c r="H95" s="64">
        <v>0</v>
      </c>
      <c r="I95" s="85"/>
      <c r="J95" s="86">
        <f t="shared" si="5"/>
        <v>0</v>
      </c>
      <c r="K95" s="75">
        <f t="shared" si="6"/>
        <v>0</v>
      </c>
    </row>
    <row r="96" spans="5:13">
      <c r="E96" s="182" t="s">
        <v>33</v>
      </c>
      <c r="F96" s="78" t="s">
        <v>118</v>
      </c>
      <c r="G96" s="62">
        <v>6.5731311023136561E-3</v>
      </c>
      <c r="H96" s="64">
        <v>0</v>
      </c>
      <c r="I96" s="79"/>
      <c r="J96" s="80"/>
      <c r="K96" s="81"/>
    </row>
    <row r="97" spans="5:12">
      <c r="E97" s="184"/>
      <c r="F97" s="70" t="s">
        <v>119</v>
      </c>
      <c r="G97" s="62">
        <v>-9.7273706758208411E-3</v>
      </c>
      <c r="H97" s="64">
        <v>0</v>
      </c>
      <c r="J97" s="71"/>
      <c r="K97" s="72"/>
    </row>
    <row r="98" spans="5:12">
      <c r="E98" s="184"/>
      <c r="F98" s="70" t="s">
        <v>120</v>
      </c>
      <c r="G98" s="62">
        <v>8.6712521554110425E-3</v>
      </c>
      <c r="H98" s="64">
        <v>0</v>
      </c>
      <c r="J98" s="71"/>
      <c r="K98" s="72"/>
    </row>
    <row r="99" spans="5:12">
      <c r="E99" s="183"/>
      <c r="F99" s="82" t="s">
        <v>121</v>
      </c>
      <c r="G99" s="62">
        <v>-6.6877443737811627E-4</v>
      </c>
      <c r="H99" s="64">
        <v>0</v>
      </c>
      <c r="I99" s="74"/>
      <c r="J99" s="83">
        <f>(H96+H97+H98+H99)/H103</f>
        <v>0</v>
      </c>
      <c r="K99" s="77">
        <f>G96*H96+G97*H97+G98*H98+G99*H99</f>
        <v>0</v>
      </c>
    </row>
    <row r="100" spans="5:12">
      <c r="E100" s="113" t="s">
        <v>29</v>
      </c>
      <c r="F100" s="84" t="s">
        <v>122</v>
      </c>
      <c r="G100" s="62">
        <v>4.4608487957046028E-3</v>
      </c>
      <c r="H100" s="64">
        <v>0</v>
      </c>
      <c r="I100" s="85"/>
      <c r="J100" s="86">
        <f>H100/$H$103</f>
        <v>0</v>
      </c>
      <c r="K100" s="75">
        <f t="shared" ref="K100:K102" si="7">G100*H100</f>
        <v>0</v>
      </c>
    </row>
    <row r="101" spans="5:12">
      <c r="E101" s="113" t="s">
        <v>123</v>
      </c>
      <c r="F101" s="84" t="s">
        <v>124</v>
      </c>
      <c r="G101" s="63">
        <v>8.659258405648896E-3</v>
      </c>
      <c r="H101" s="64">
        <v>0</v>
      </c>
      <c r="I101" s="85"/>
      <c r="J101" s="86">
        <f t="shared" ref="J101:J102" si="8">H101/$H$103</f>
        <v>0</v>
      </c>
      <c r="K101" s="75">
        <f t="shared" si="7"/>
        <v>0</v>
      </c>
    </row>
    <row r="102" spans="5:12">
      <c r="E102" s="113" t="s">
        <v>125</v>
      </c>
      <c r="F102" s="84" t="s">
        <v>126</v>
      </c>
      <c r="G102" s="63">
        <v>7.0493825171110682E-3</v>
      </c>
      <c r="H102" s="64">
        <v>0</v>
      </c>
      <c r="I102" s="85"/>
      <c r="J102" s="86">
        <f t="shared" si="8"/>
        <v>0</v>
      </c>
      <c r="K102" s="75">
        <f t="shared" si="7"/>
        <v>0</v>
      </c>
    </row>
    <row r="103" spans="5:12" ht="15" thickBot="1">
      <c r="E103" s="114"/>
      <c r="F103" s="73"/>
      <c r="G103" s="74"/>
      <c r="H103" s="69">
        <f>SUM(H83:H102)</f>
        <v>0.99999900885384618</v>
      </c>
      <c r="I103" s="76"/>
      <c r="J103" s="69">
        <f t="shared" ref="J103" si="9">SUM(J83:J102)</f>
        <v>1</v>
      </c>
      <c r="K103" s="87">
        <f t="shared" ref="K103" si="10">SUM(K83:K102)</f>
        <v>3.1162608706968825E-2</v>
      </c>
    </row>
    <row r="104" spans="5:12" ht="15" thickTop="1"/>
    <row r="108" spans="5:12">
      <c r="L108">
        <f>K99*12</f>
        <v>0</v>
      </c>
    </row>
  </sheetData>
  <mergeCells count="12">
    <mergeCell ref="E96:E99"/>
    <mergeCell ref="A56:A63"/>
    <mergeCell ref="A3:A7"/>
    <mergeCell ref="A8:A19"/>
    <mergeCell ref="A20:A31"/>
    <mergeCell ref="A32:A43"/>
    <mergeCell ref="A44:A55"/>
    <mergeCell ref="V7:W7"/>
    <mergeCell ref="E83:E84"/>
    <mergeCell ref="E85:E86"/>
    <mergeCell ref="E87:E88"/>
    <mergeCell ref="E89:E9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969B-5C5E-4C5E-9164-C0DCE64F4A75}">
  <dimension ref="A1:V54"/>
  <sheetViews>
    <sheetView topLeftCell="H2" zoomScale="77" workbookViewId="0">
      <selection activeCell="H25" sqref="H25"/>
    </sheetView>
  </sheetViews>
  <sheetFormatPr defaultColWidth="8.81640625" defaultRowHeight="14.5"/>
  <cols>
    <col min="1" max="1" width="33" bestFit="1" customWidth="1"/>
    <col min="2" max="2" width="14.6328125" bestFit="1" customWidth="1"/>
    <col min="3" max="3" width="11.54296875" customWidth="1"/>
    <col min="4" max="4" width="10.453125" bestFit="1" customWidth="1"/>
    <col min="5" max="5" width="13" customWidth="1"/>
    <col min="6" max="6" width="26.1796875" customWidth="1"/>
    <col min="7" max="7" width="12.7265625" bestFit="1" customWidth="1"/>
    <col min="8" max="8" width="14.7265625" bestFit="1" customWidth="1"/>
    <col min="9" max="9" width="27.453125" bestFit="1" customWidth="1"/>
    <col min="10" max="10" width="9.6328125" customWidth="1"/>
    <col min="11" max="11" width="12.7265625" customWidth="1"/>
    <col min="12" max="12" width="10.90625" customWidth="1"/>
    <col min="13" max="13" width="9.453125" customWidth="1"/>
    <col min="14" max="14" width="11.54296875" customWidth="1"/>
    <col min="17" max="17" width="27.453125" bestFit="1" customWidth="1"/>
    <col min="18" max="18" width="12.08984375" customWidth="1"/>
    <col min="19" max="19" width="12" customWidth="1"/>
    <col min="21" max="21" width="11.6328125" customWidth="1"/>
  </cols>
  <sheetData>
    <row r="1" spans="1:22" ht="23.5" thickBot="1">
      <c r="A1" s="137"/>
      <c r="B1" s="191" t="s">
        <v>70</v>
      </c>
      <c r="C1" s="191"/>
      <c r="D1" s="191"/>
      <c r="E1" s="191"/>
      <c r="F1" s="191"/>
      <c r="G1" s="191"/>
      <c r="H1" s="191"/>
      <c r="I1" s="138"/>
      <c r="J1" s="191" t="s">
        <v>71</v>
      </c>
      <c r="K1" s="191"/>
      <c r="L1" s="191"/>
      <c r="M1" s="191"/>
      <c r="N1" s="191"/>
      <c r="O1" s="191"/>
      <c r="P1" s="191"/>
      <c r="Q1" s="138"/>
      <c r="R1" s="191" t="s">
        <v>72</v>
      </c>
      <c r="S1" s="191"/>
      <c r="T1" s="191"/>
      <c r="U1" s="191"/>
      <c r="V1" s="191"/>
    </row>
    <row r="2" spans="1:22" ht="56">
      <c r="A2" s="139" t="s">
        <v>73</v>
      </c>
      <c r="B2" s="140" t="s">
        <v>74</v>
      </c>
      <c r="C2" s="140" t="s">
        <v>75</v>
      </c>
      <c r="D2" s="140" t="s">
        <v>76</v>
      </c>
      <c r="E2" s="140" t="s">
        <v>77</v>
      </c>
      <c r="F2" s="140" t="s">
        <v>78</v>
      </c>
      <c r="G2" s="140" t="s">
        <v>79</v>
      </c>
      <c r="H2" s="140" t="s">
        <v>80</v>
      </c>
      <c r="I2" s="140" t="s">
        <v>73</v>
      </c>
      <c r="J2" s="140" t="s">
        <v>74</v>
      </c>
      <c r="K2" s="140" t="s">
        <v>81</v>
      </c>
      <c r="L2" s="140" t="s">
        <v>76</v>
      </c>
      <c r="M2" s="140" t="s">
        <v>82</v>
      </c>
      <c r="N2" s="140" t="s">
        <v>77</v>
      </c>
      <c r="O2" s="140" t="s">
        <v>83</v>
      </c>
      <c r="P2" s="140" t="s">
        <v>80</v>
      </c>
      <c r="Q2" s="140" t="s">
        <v>73</v>
      </c>
      <c r="R2" s="140" t="s">
        <v>82</v>
      </c>
      <c r="S2" s="140" t="s">
        <v>77</v>
      </c>
      <c r="T2" s="140" t="s">
        <v>83</v>
      </c>
      <c r="U2" s="140" t="s">
        <v>84</v>
      </c>
      <c r="V2" s="141" t="s">
        <v>80</v>
      </c>
    </row>
    <row r="3" spans="1:22">
      <c r="A3" s="142" t="s">
        <v>12</v>
      </c>
      <c r="B3" s="10">
        <f>Evaluation!J84</f>
        <v>0.24449459522878941</v>
      </c>
      <c r="C3" s="10">
        <f>C25</f>
        <v>0.20848092181579703</v>
      </c>
      <c r="D3" s="10">
        <f>B3-C3</f>
        <v>3.6013673412992386E-2</v>
      </c>
      <c r="E3" s="10">
        <f>H25</f>
        <v>1.6091666666666667E-2</v>
      </c>
      <c r="F3" s="11">
        <f>Evaluation!$P$3</f>
        <v>3.9650998191011382E-3</v>
      </c>
      <c r="G3" s="10">
        <f>E3-F3</f>
        <v>1.212656684756553E-2</v>
      </c>
      <c r="H3" s="11">
        <f>D3*G3</f>
        <v>4.3672221806904563E-4</v>
      </c>
      <c r="I3" s="88" t="s">
        <v>12</v>
      </c>
      <c r="J3" s="10">
        <f>B3</f>
        <v>0.24449459522878941</v>
      </c>
      <c r="K3" s="10">
        <f>C3</f>
        <v>0.20848092181579703</v>
      </c>
      <c r="L3" s="10">
        <f>J3-K3</f>
        <v>3.6013673412992386E-2</v>
      </c>
      <c r="M3" s="10">
        <f>Evaluation!K84</f>
        <v>6.7300561993030835E-3</v>
      </c>
      <c r="N3" s="10">
        <f>E3</f>
        <v>1.6091666666666667E-2</v>
      </c>
      <c r="O3" s="10">
        <f>M3-N3</f>
        <v>-9.3616104673635847E-3</v>
      </c>
      <c r="P3" s="11">
        <f>L3*O3</f>
        <v>-3.3714598199128317E-4</v>
      </c>
      <c r="Q3" s="88" t="s">
        <v>12</v>
      </c>
      <c r="R3" s="10">
        <f>M3</f>
        <v>6.7300561993030835E-3</v>
      </c>
      <c r="S3" s="10">
        <f>E3</f>
        <v>1.6091666666666667E-2</v>
      </c>
      <c r="T3" s="10">
        <f>R3-S3</f>
        <v>-9.3616104673635847E-3</v>
      </c>
      <c r="U3" s="10">
        <f>C3</f>
        <v>0.20848092181579703</v>
      </c>
      <c r="V3" s="143">
        <f>T3*U3</f>
        <v>-1.9517171799163745E-3</v>
      </c>
    </row>
    <row r="4" spans="1:22">
      <c r="A4" s="142" t="s">
        <v>108</v>
      </c>
      <c r="B4" s="10">
        <f>Evaluation!J86</f>
        <v>0</v>
      </c>
      <c r="C4" s="10">
        <f>C26</f>
        <v>2.9838228679533459E-2</v>
      </c>
      <c r="D4" s="10">
        <f t="shared" ref="D4:D14" si="0">B4-C4</f>
        <v>-2.9838228679533459E-2</v>
      </c>
      <c r="E4" s="10">
        <f>H31</f>
        <v>2.4241666666666665E-2</v>
      </c>
      <c r="F4" s="11">
        <f>F3</f>
        <v>3.9650998191011382E-3</v>
      </c>
      <c r="G4" s="10">
        <f t="shared" ref="G4:G14" si="1">E4-F4</f>
        <v>2.0276566847565528E-2</v>
      </c>
      <c r="H4" s="11">
        <f t="shared" ref="H4:H14" si="2">D4*G4</f>
        <v>-6.0501683843350708E-4</v>
      </c>
      <c r="I4" s="88" t="s">
        <v>108</v>
      </c>
      <c r="J4" s="10">
        <f t="shared" ref="J4:J14" si="3">B4</f>
        <v>0</v>
      </c>
      <c r="K4" s="10">
        <f t="shared" ref="K4:K14" si="4">C4</f>
        <v>2.9838228679533459E-2</v>
      </c>
      <c r="L4" s="10">
        <f t="shared" ref="L4:L14" si="5">J4-K4</f>
        <v>-2.9838228679533459E-2</v>
      </c>
      <c r="M4" s="10">
        <f>Evaluation!K86</f>
        <v>0</v>
      </c>
      <c r="N4" s="10">
        <f t="shared" ref="N4:N14" si="6">E4</f>
        <v>2.4241666666666665E-2</v>
      </c>
      <c r="O4" s="10">
        <f t="shared" ref="O4:O14" si="7">M4-N4</f>
        <v>-2.4241666666666665E-2</v>
      </c>
      <c r="P4" s="11">
        <f t="shared" ref="P4:P14" si="8">L4*O4</f>
        <v>7.2332839357302353E-4</v>
      </c>
      <c r="Q4" s="88" t="s">
        <v>108</v>
      </c>
      <c r="R4" s="10">
        <f t="shared" ref="R4:R14" si="9">M4</f>
        <v>0</v>
      </c>
      <c r="S4" s="10">
        <f t="shared" ref="S4:S14" si="10">E4</f>
        <v>2.4241666666666665E-2</v>
      </c>
      <c r="T4" s="10">
        <f t="shared" ref="T4:T14" si="11">R4-S4</f>
        <v>-2.4241666666666665E-2</v>
      </c>
      <c r="U4" s="10">
        <f t="shared" ref="U4:U14" si="12">C4</f>
        <v>2.9838228679533459E-2</v>
      </c>
      <c r="V4" s="143">
        <f t="shared" ref="V4:V14" si="13">T4*U4</f>
        <v>-7.2332839357302353E-4</v>
      </c>
    </row>
    <row r="5" spans="1:22">
      <c r="A5" s="142" t="s">
        <v>32</v>
      </c>
      <c r="B5" s="10">
        <f>Evaluation!J88</f>
        <v>0</v>
      </c>
      <c r="C5" s="10">
        <f>C27</f>
        <v>4.8331221777468319E-2</v>
      </c>
      <c r="D5" s="10">
        <f t="shared" si="0"/>
        <v>-4.8331221777468319E-2</v>
      </c>
      <c r="E5" s="10">
        <f>H34</f>
        <v>3.8800000000000001E-2</v>
      </c>
      <c r="F5" s="11">
        <f t="shared" ref="F5:F14" si="14">F4</f>
        <v>3.9650998191011382E-3</v>
      </c>
      <c r="G5" s="10">
        <f t="shared" si="1"/>
        <v>3.483490018089886E-2</v>
      </c>
      <c r="H5" s="11">
        <f t="shared" si="2"/>
        <v>-1.6836132862389941E-3</v>
      </c>
      <c r="I5" s="88" t="s">
        <v>32</v>
      </c>
      <c r="J5" s="10">
        <f t="shared" si="3"/>
        <v>0</v>
      </c>
      <c r="K5" s="10">
        <f t="shared" si="4"/>
        <v>4.8331221777468319E-2</v>
      </c>
      <c r="L5" s="10">
        <f t="shared" si="5"/>
        <v>-4.8331221777468319E-2</v>
      </c>
      <c r="M5" s="10">
        <f>Evaluation!K88</f>
        <v>0</v>
      </c>
      <c r="N5" s="10">
        <f t="shared" si="6"/>
        <v>3.8800000000000001E-2</v>
      </c>
      <c r="O5" s="10">
        <f t="shared" si="7"/>
        <v>-3.8800000000000001E-2</v>
      </c>
      <c r="P5" s="11">
        <f t="shared" si="8"/>
        <v>1.8752514049657709E-3</v>
      </c>
      <c r="Q5" s="88" t="s">
        <v>32</v>
      </c>
      <c r="R5" s="10">
        <f t="shared" si="9"/>
        <v>0</v>
      </c>
      <c r="S5" s="10">
        <f t="shared" si="10"/>
        <v>3.8800000000000001E-2</v>
      </c>
      <c r="T5" s="10">
        <f t="shared" si="11"/>
        <v>-3.8800000000000001E-2</v>
      </c>
      <c r="U5" s="10">
        <f t="shared" si="12"/>
        <v>4.8331221777468319E-2</v>
      </c>
      <c r="V5" s="143">
        <f t="shared" si="13"/>
        <v>-1.8752514049657709E-3</v>
      </c>
    </row>
    <row r="6" spans="1:22">
      <c r="A6" s="142" t="s">
        <v>30</v>
      </c>
      <c r="B6" s="10">
        <f>Evaluation!J91</f>
        <v>0.47355995438814519</v>
      </c>
      <c r="C6" s="10">
        <f>C30</f>
        <v>6.5036008052438948E-2</v>
      </c>
      <c r="D6" s="10">
        <f t="shared" si="0"/>
        <v>0.40852394633570621</v>
      </c>
      <c r="E6" s="10">
        <f>H32</f>
        <v>-3.375E-3</v>
      </c>
      <c r="F6" s="11">
        <f t="shared" si="14"/>
        <v>3.9650998191011382E-3</v>
      </c>
      <c r="G6" s="10">
        <f t="shared" si="1"/>
        <v>-7.3400998191011386E-3</v>
      </c>
      <c r="H6" s="11">
        <f t="shared" si="2"/>
        <v>-2.9986065445972002E-3</v>
      </c>
      <c r="I6" s="88" t="s">
        <v>30</v>
      </c>
      <c r="J6" s="10">
        <f t="shared" si="3"/>
        <v>0.47355995438814519</v>
      </c>
      <c r="K6" s="10">
        <f t="shared" si="4"/>
        <v>6.5036008052438948E-2</v>
      </c>
      <c r="L6" s="10">
        <f t="shared" si="5"/>
        <v>0.40852394633570621</v>
      </c>
      <c r="M6" s="10">
        <f>Evaluation!K91</f>
        <v>1.8443888413081092E-2</v>
      </c>
      <c r="N6" s="10">
        <f t="shared" si="6"/>
        <v>-3.375E-3</v>
      </c>
      <c r="O6" s="10">
        <f t="shared" si="7"/>
        <v>2.1818888413081092E-2</v>
      </c>
      <c r="P6" s="11">
        <f t="shared" si="8"/>
        <v>8.9135383991703013E-3</v>
      </c>
      <c r="Q6" s="88" t="s">
        <v>30</v>
      </c>
      <c r="R6" s="10">
        <f t="shared" si="9"/>
        <v>1.8443888413081092E-2</v>
      </c>
      <c r="S6" s="10">
        <f t="shared" si="10"/>
        <v>-3.375E-3</v>
      </c>
      <c r="T6" s="10">
        <f t="shared" si="11"/>
        <v>2.1818888413081092E-2</v>
      </c>
      <c r="U6" s="10">
        <f t="shared" si="12"/>
        <v>6.5036008052438948E-2</v>
      </c>
      <c r="V6" s="143">
        <f t="shared" si="13"/>
        <v>1.4190134025284088E-3</v>
      </c>
    </row>
    <row r="7" spans="1:22">
      <c r="A7" s="142" t="s">
        <v>115</v>
      </c>
      <c r="B7" s="10">
        <f>Evaluation!J92</f>
        <v>0</v>
      </c>
      <c r="C7" s="10">
        <f>C47</f>
        <v>3.8536246291003121E-2</v>
      </c>
      <c r="D7" s="10">
        <f t="shared" si="0"/>
        <v>-3.8536246291003121E-2</v>
      </c>
      <c r="E7" s="10">
        <f>H38</f>
        <v>-2.8591666666666668E-2</v>
      </c>
      <c r="F7" s="11">
        <f t="shared" si="14"/>
        <v>3.9650998191011382E-3</v>
      </c>
      <c r="G7" s="10">
        <f t="shared" si="1"/>
        <v>-3.2556766485767809E-2</v>
      </c>
      <c r="H7" s="11">
        <f t="shared" si="2"/>
        <v>1.2546155717342244E-3</v>
      </c>
      <c r="I7" s="88" t="s">
        <v>115</v>
      </c>
      <c r="J7" s="10">
        <f t="shared" si="3"/>
        <v>0</v>
      </c>
      <c r="K7" s="10">
        <f t="shared" si="4"/>
        <v>3.8536246291003121E-2</v>
      </c>
      <c r="L7" s="10">
        <f t="shared" si="5"/>
        <v>-3.8536246291003121E-2</v>
      </c>
      <c r="M7" s="10">
        <f>Evaluation!K92</f>
        <v>0</v>
      </c>
      <c r="N7" s="10">
        <f t="shared" si="6"/>
        <v>-2.8591666666666668E-2</v>
      </c>
      <c r="O7" s="10">
        <f t="shared" si="7"/>
        <v>2.8591666666666668E-2</v>
      </c>
      <c r="P7" s="11">
        <f t="shared" si="8"/>
        <v>-1.101815508536931E-3</v>
      </c>
      <c r="Q7" s="88" t="s">
        <v>115</v>
      </c>
      <c r="R7" s="10">
        <f t="shared" si="9"/>
        <v>0</v>
      </c>
      <c r="S7" s="10">
        <f t="shared" si="10"/>
        <v>-2.8591666666666668E-2</v>
      </c>
      <c r="T7" s="10">
        <f t="shared" si="11"/>
        <v>2.8591666666666668E-2</v>
      </c>
      <c r="U7" s="10">
        <f t="shared" si="12"/>
        <v>3.8536246291003121E-2</v>
      </c>
      <c r="V7" s="143">
        <f t="shared" si="13"/>
        <v>1.101815508536931E-3</v>
      </c>
    </row>
    <row r="8" spans="1:22">
      <c r="A8" s="142" t="s">
        <v>35</v>
      </c>
      <c r="B8" s="10">
        <f>Evaluation!J93</f>
        <v>0.28194545038306534</v>
      </c>
      <c r="C8" s="10">
        <f>C35</f>
        <v>6.9509921408300408E-3</v>
      </c>
      <c r="D8" s="10">
        <f t="shared" si="0"/>
        <v>0.27499445824223528</v>
      </c>
      <c r="E8" s="10">
        <f>H43</f>
        <v>1.4916666666666667E-2</v>
      </c>
      <c r="F8" s="11">
        <f t="shared" si="14"/>
        <v>3.9650998191011382E-3</v>
      </c>
      <c r="G8" s="10">
        <f t="shared" si="1"/>
        <v>1.0951566847565528E-2</v>
      </c>
      <c r="H8" s="11">
        <f t="shared" si="2"/>
        <v>3.0116201921499067E-3</v>
      </c>
      <c r="I8" s="88" t="s">
        <v>35</v>
      </c>
      <c r="J8" s="10">
        <f t="shared" si="3"/>
        <v>0.28194545038306534</v>
      </c>
      <c r="K8" s="10">
        <f t="shared" si="4"/>
        <v>6.9509921408300408E-3</v>
      </c>
      <c r="L8" s="10">
        <f t="shared" si="5"/>
        <v>0.27499445824223528</v>
      </c>
      <c r="M8" s="10">
        <f>Evaluation!K93</f>
        <v>5.9886640945846486E-3</v>
      </c>
      <c r="N8" s="10">
        <f t="shared" si="6"/>
        <v>1.4916666666666667E-2</v>
      </c>
      <c r="O8" s="10">
        <f t="shared" si="7"/>
        <v>-8.928002572082018E-3</v>
      </c>
      <c r="P8" s="11">
        <f t="shared" si="8"/>
        <v>-2.4551512304949777E-3</v>
      </c>
      <c r="Q8" s="88" t="s">
        <v>35</v>
      </c>
      <c r="R8" s="10">
        <f t="shared" si="9"/>
        <v>5.9886640945846486E-3</v>
      </c>
      <c r="S8" s="10">
        <f t="shared" si="10"/>
        <v>1.4916666666666667E-2</v>
      </c>
      <c r="T8" s="10">
        <f t="shared" si="11"/>
        <v>-8.928002572082018E-3</v>
      </c>
      <c r="U8" s="10">
        <f t="shared" si="12"/>
        <v>6.9509921408300408E-3</v>
      </c>
      <c r="V8" s="143">
        <f t="shared" si="13"/>
        <v>-6.20584757118525E-5</v>
      </c>
    </row>
    <row r="9" spans="1:22">
      <c r="A9" s="142" t="s">
        <v>27</v>
      </c>
      <c r="B9" s="10">
        <f>Evaluation!J94</f>
        <v>0</v>
      </c>
      <c r="C9" s="10">
        <f>C38</f>
        <v>2.6580669513822146E-2</v>
      </c>
      <c r="D9" s="10">
        <f t="shared" si="0"/>
        <v>-2.6580669513822146E-2</v>
      </c>
      <c r="E9" s="10">
        <f>H26</f>
        <v>1.145E-2</v>
      </c>
      <c r="F9" s="11">
        <f t="shared" si="14"/>
        <v>3.9650998191011382E-3</v>
      </c>
      <c r="G9" s="10">
        <f t="shared" si="1"/>
        <v>7.4849001808988619E-3</v>
      </c>
      <c r="H9" s="11">
        <f t="shared" si="2"/>
        <v>-1.9895365805242023E-4</v>
      </c>
      <c r="I9" s="88" t="s">
        <v>27</v>
      </c>
      <c r="J9" s="10">
        <f t="shared" si="3"/>
        <v>0</v>
      </c>
      <c r="K9" s="10">
        <f t="shared" si="4"/>
        <v>2.6580669513822146E-2</v>
      </c>
      <c r="L9" s="10">
        <f t="shared" si="5"/>
        <v>-2.6580669513822146E-2</v>
      </c>
      <c r="M9" s="10">
        <f>Evaluation!K94</f>
        <v>0</v>
      </c>
      <c r="N9" s="10">
        <f t="shared" si="6"/>
        <v>1.145E-2</v>
      </c>
      <c r="O9" s="10">
        <f t="shared" si="7"/>
        <v>-1.145E-2</v>
      </c>
      <c r="P9" s="11">
        <f t="shared" si="8"/>
        <v>3.0434866593326358E-4</v>
      </c>
      <c r="Q9" s="88" t="s">
        <v>27</v>
      </c>
      <c r="R9" s="10">
        <f t="shared" si="9"/>
        <v>0</v>
      </c>
      <c r="S9" s="10">
        <f t="shared" si="10"/>
        <v>1.145E-2</v>
      </c>
      <c r="T9" s="10">
        <f t="shared" si="11"/>
        <v>-1.145E-2</v>
      </c>
      <c r="U9" s="10">
        <f t="shared" si="12"/>
        <v>2.6580669513822146E-2</v>
      </c>
      <c r="V9" s="143">
        <f t="shared" si="13"/>
        <v>-3.0434866593326358E-4</v>
      </c>
    </row>
    <row r="10" spans="1:22">
      <c r="A10" s="142" t="s">
        <v>34</v>
      </c>
      <c r="B10" s="10">
        <f>Evaluation!J95</f>
        <v>0</v>
      </c>
      <c r="C10" s="10">
        <f>C45</f>
        <v>0.14499133628091437</v>
      </c>
      <c r="D10" s="10">
        <f t="shared" si="0"/>
        <v>-0.14499133628091437</v>
      </c>
      <c r="E10" s="10">
        <f>H44</f>
        <v>-8.6666666666666663E-4</v>
      </c>
      <c r="F10" s="11">
        <f t="shared" si="14"/>
        <v>3.9650998191011382E-3</v>
      </c>
      <c r="G10" s="10">
        <f t="shared" si="1"/>
        <v>-4.8317664857678048E-3</v>
      </c>
      <c r="H10" s="11">
        <f t="shared" si="2"/>
        <v>7.005642793688117E-4</v>
      </c>
      <c r="I10" s="88" t="s">
        <v>34</v>
      </c>
      <c r="J10" s="10">
        <f t="shared" si="3"/>
        <v>0</v>
      </c>
      <c r="K10" s="10">
        <f t="shared" si="4"/>
        <v>0.14499133628091437</v>
      </c>
      <c r="L10" s="10">
        <f t="shared" si="5"/>
        <v>-0.14499133628091437</v>
      </c>
      <c r="M10" s="10">
        <f>Evaluation!K95</f>
        <v>0</v>
      </c>
      <c r="N10" s="10">
        <f t="shared" si="6"/>
        <v>-8.6666666666666663E-4</v>
      </c>
      <c r="O10" s="10">
        <f t="shared" si="7"/>
        <v>8.6666666666666663E-4</v>
      </c>
      <c r="P10" s="11">
        <f t="shared" si="8"/>
        <v>-1.2565915811012579E-4</v>
      </c>
      <c r="Q10" s="88" t="s">
        <v>34</v>
      </c>
      <c r="R10" s="10">
        <f t="shared" si="9"/>
        <v>0</v>
      </c>
      <c r="S10" s="10">
        <f t="shared" si="10"/>
        <v>-8.6666666666666663E-4</v>
      </c>
      <c r="T10" s="10">
        <f t="shared" si="11"/>
        <v>8.6666666666666663E-4</v>
      </c>
      <c r="U10" s="10">
        <f t="shared" si="12"/>
        <v>0.14499133628091437</v>
      </c>
      <c r="V10" s="143">
        <f t="shared" si="13"/>
        <v>1.2565915811012579E-4</v>
      </c>
    </row>
    <row r="11" spans="1:22">
      <c r="A11" s="144" t="s">
        <v>33</v>
      </c>
      <c r="B11" s="10">
        <f>Evaluation!J99</f>
        <v>0</v>
      </c>
      <c r="C11" s="10">
        <f>C31</f>
        <v>0.16347190589111607</v>
      </c>
      <c r="D11" s="10">
        <f t="shared" si="0"/>
        <v>-0.16347190589111607</v>
      </c>
      <c r="E11" s="10">
        <f>H41</f>
        <v>9.7249999999999993E-3</v>
      </c>
      <c r="F11" s="11">
        <f t="shared" si="14"/>
        <v>3.9650998191011382E-3</v>
      </c>
      <c r="G11" s="10">
        <f t="shared" si="1"/>
        <v>5.7599001808988611E-3</v>
      </c>
      <c r="H11" s="11">
        <f t="shared" si="2"/>
        <v>-9.4158186031412109E-4</v>
      </c>
      <c r="I11" s="145" t="s">
        <v>33</v>
      </c>
      <c r="J11" s="10">
        <f t="shared" si="3"/>
        <v>0</v>
      </c>
      <c r="K11" s="10">
        <f t="shared" si="4"/>
        <v>0.16347190589111607</v>
      </c>
      <c r="L11" s="10">
        <f t="shared" si="5"/>
        <v>-0.16347190589111607</v>
      </c>
      <c r="M11" s="10">
        <f>Evaluation!K99</f>
        <v>0</v>
      </c>
      <c r="N11" s="10">
        <f t="shared" si="6"/>
        <v>9.7249999999999993E-3</v>
      </c>
      <c r="O11" s="10">
        <f t="shared" si="7"/>
        <v>-9.7249999999999993E-3</v>
      </c>
      <c r="P11" s="11">
        <f t="shared" si="8"/>
        <v>1.5897642847911037E-3</v>
      </c>
      <c r="Q11" s="145" t="s">
        <v>33</v>
      </c>
      <c r="R11" s="10">
        <f t="shared" si="9"/>
        <v>0</v>
      </c>
      <c r="S11" s="10">
        <f t="shared" si="10"/>
        <v>9.7249999999999993E-3</v>
      </c>
      <c r="T11" s="10">
        <f t="shared" si="11"/>
        <v>-9.7249999999999993E-3</v>
      </c>
      <c r="U11" s="10">
        <f t="shared" si="12"/>
        <v>0.16347190589111607</v>
      </c>
      <c r="V11" s="143">
        <f t="shared" si="13"/>
        <v>-1.5897642847911037E-3</v>
      </c>
    </row>
    <row r="12" spans="1:22">
      <c r="A12" s="144" t="s">
        <v>29</v>
      </c>
      <c r="B12" s="10">
        <f>Evaluation!J100</f>
        <v>0</v>
      </c>
      <c r="C12" s="10">
        <f>C33</f>
        <v>8.4466966015199679E-2</v>
      </c>
      <c r="D12" s="10">
        <f t="shared" si="0"/>
        <v>-8.4466966015199679E-2</v>
      </c>
      <c r="E12" s="10">
        <f>H30</f>
        <v>1.3375E-2</v>
      </c>
      <c r="F12" s="11">
        <f t="shared" si="14"/>
        <v>3.9650998191011382E-3</v>
      </c>
      <c r="G12" s="10">
        <f t="shared" si="1"/>
        <v>9.4099001808988607E-3</v>
      </c>
      <c r="H12" s="11">
        <f t="shared" si="2"/>
        <v>-7.9482571878640538E-4</v>
      </c>
      <c r="I12" s="145" t="s">
        <v>29</v>
      </c>
      <c r="J12" s="10">
        <f t="shared" si="3"/>
        <v>0</v>
      </c>
      <c r="K12" s="10">
        <f t="shared" si="4"/>
        <v>8.4466966015199679E-2</v>
      </c>
      <c r="L12" s="10">
        <f t="shared" si="5"/>
        <v>-8.4466966015199679E-2</v>
      </c>
      <c r="M12" s="10">
        <f>Evaluation!K100</f>
        <v>0</v>
      </c>
      <c r="N12" s="10">
        <f t="shared" si="6"/>
        <v>1.3375E-2</v>
      </c>
      <c r="O12" s="10">
        <f t="shared" si="7"/>
        <v>-1.3375E-2</v>
      </c>
      <c r="P12" s="11">
        <f t="shared" si="8"/>
        <v>1.1297456704532957E-3</v>
      </c>
      <c r="Q12" s="145" t="s">
        <v>29</v>
      </c>
      <c r="R12" s="10">
        <f t="shared" si="9"/>
        <v>0</v>
      </c>
      <c r="S12" s="10">
        <f t="shared" si="10"/>
        <v>1.3375E-2</v>
      </c>
      <c r="T12" s="10">
        <f t="shared" si="11"/>
        <v>-1.3375E-2</v>
      </c>
      <c r="U12" s="10">
        <f t="shared" si="12"/>
        <v>8.4466966015199679E-2</v>
      </c>
      <c r="V12" s="143">
        <f t="shared" si="13"/>
        <v>-1.1297456704532957E-3</v>
      </c>
    </row>
    <row r="13" spans="1:22">
      <c r="A13" s="144" t="s">
        <v>123</v>
      </c>
      <c r="B13" s="10">
        <f>Evaluation!J101</f>
        <v>0</v>
      </c>
      <c r="C13" s="10">
        <f>C44</f>
        <v>8.9569483601152685E-3</v>
      </c>
      <c r="D13" s="10">
        <f t="shared" si="0"/>
        <v>-8.9569483601152685E-3</v>
      </c>
      <c r="E13" s="10">
        <f>H35</f>
        <v>3.4499999999999996E-2</v>
      </c>
      <c r="F13" s="11">
        <f t="shared" si="14"/>
        <v>3.9650998191011382E-3</v>
      </c>
      <c r="G13" s="10">
        <f t="shared" si="1"/>
        <v>3.0534900180898859E-2</v>
      </c>
      <c r="H13" s="11">
        <f t="shared" si="2"/>
        <v>-2.7349952410158545E-4</v>
      </c>
      <c r="I13" s="145" t="s">
        <v>123</v>
      </c>
      <c r="J13" s="10">
        <f t="shared" si="3"/>
        <v>0</v>
      </c>
      <c r="K13" s="10">
        <f t="shared" si="4"/>
        <v>8.9569483601152685E-3</v>
      </c>
      <c r="L13" s="10">
        <f t="shared" si="5"/>
        <v>-8.9569483601152685E-3</v>
      </c>
      <c r="M13" s="10">
        <f>Evaluation!K101</f>
        <v>0</v>
      </c>
      <c r="N13" s="10">
        <f t="shared" si="6"/>
        <v>3.4499999999999996E-2</v>
      </c>
      <c r="O13" s="10">
        <f t="shared" si="7"/>
        <v>-3.4499999999999996E-2</v>
      </c>
      <c r="P13" s="11">
        <f t="shared" si="8"/>
        <v>3.090147184239767E-4</v>
      </c>
      <c r="Q13" s="145" t="s">
        <v>123</v>
      </c>
      <c r="R13" s="10">
        <f t="shared" si="9"/>
        <v>0</v>
      </c>
      <c r="S13" s="10">
        <f t="shared" si="10"/>
        <v>3.4499999999999996E-2</v>
      </c>
      <c r="T13" s="10">
        <f>R13-S13</f>
        <v>-3.4499999999999996E-2</v>
      </c>
      <c r="U13" s="10">
        <f t="shared" si="12"/>
        <v>8.9569483601152685E-3</v>
      </c>
      <c r="V13" s="143">
        <f t="shared" si="13"/>
        <v>-3.090147184239767E-4</v>
      </c>
    </row>
    <row r="14" spans="1:22" ht="15" thickBot="1">
      <c r="A14" s="146" t="s">
        <v>125</v>
      </c>
      <c r="B14" s="124">
        <f>Evaluation!J102</f>
        <v>0</v>
      </c>
      <c r="C14" s="124">
        <f>C42</f>
        <v>8.2673218531001749E-2</v>
      </c>
      <c r="D14" s="124">
        <f t="shared" si="0"/>
        <v>-8.2673218531001749E-2</v>
      </c>
      <c r="E14" s="124">
        <f>H33</f>
        <v>9.1333333333333336E-3</v>
      </c>
      <c r="F14" s="125">
        <f t="shared" si="14"/>
        <v>3.9650998191011382E-3</v>
      </c>
      <c r="G14" s="124">
        <f t="shared" si="1"/>
        <v>5.1682335142321954E-3</v>
      </c>
      <c r="H14" s="125">
        <f t="shared" si="2"/>
        <v>-4.2727449874136543E-4</v>
      </c>
      <c r="I14" s="123" t="s">
        <v>125</v>
      </c>
      <c r="J14" s="124">
        <f t="shared" si="3"/>
        <v>0</v>
      </c>
      <c r="K14" s="124">
        <f t="shared" si="4"/>
        <v>8.2673218531001749E-2</v>
      </c>
      <c r="L14" s="124">
        <f t="shared" si="5"/>
        <v>-8.2673218531001749E-2</v>
      </c>
      <c r="M14" s="10">
        <f>Evaluation!K102</f>
        <v>0</v>
      </c>
      <c r="N14" s="124">
        <f t="shared" si="6"/>
        <v>9.1333333333333336E-3</v>
      </c>
      <c r="O14" s="124">
        <f t="shared" si="7"/>
        <v>-9.1333333333333336E-3</v>
      </c>
      <c r="P14" s="125">
        <f t="shared" si="8"/>
        <v>7.5508206258314929E-4</v>
      </c>
      <c r="Q14" s="123" t="s">
        <v>125</v>
      </c>
      <c r="R14" s="124">
        <f t="shared" si="9"/>
        <v>0</v>
      </c>
      <c r="S14" s="124">
        <f t="shared" si="10"/>
        <v>9.1333333333333336E-3</v>
      </c>
      <c r="T14" s="124">
        <f t="shared" si="11"/>
        <v>-9.1333333333333336E-3</v>
      </c>
      <c r="U14" s="124">
        <f t="shared" si="12"/>
        <v>8.2673218531001749E-2</v>
      </c>
      <c r="V14" s="147">
        <f t="shared" si="13"/>
        <v>-7.5508206258314929E-4</v>
      </c>
    </row>
    <row r="15" spans="1:22" ht="15" thickBot="1">
      <c r="A15" s="146" t="s">
        <v>86</v>
      </c>
      <c r="B15" s="148">
        <f>SUM(B3:B14)</f>
        <v>1</v>
      </c>
      <c r="C15" s="149"/>
      <c r="D15" s="149"/>
      <c r="E15" s="149"/>
      <c r="F15" s="149"/>
      <c r="G15" s="149"/>
      <c r="H15" s="148">
        <f>AVERAGE(H3:H14)</f>
        <v>-2.0998747232863423E-4</v>
      </c>
      <c r="I15" s="123" t="s">
        <v>86</v>
      </c>
      <c r="J15" s="148">
        <f>SUM(J3:J14)</f>
        <v>1</v>
      </c>
      <c r="K15" s="149"/>
      <c r="L15" s="149"/>
      <c r="M15" s="148"/>
      <c r="N15" s="149"/>
      <c r="O15" s="149"/>
      <c r="P15" s="148">
        <f>SUM(P3:P14)</f>
        <v>1.1580301720760567E-2</v>
      </c>
      <c r="Q15" s="123" t="s">
        <v>86</v>
      </c>
      <c r="R15" s="149"/>
      <c r="S15" s="149"/>
      <c r="T15" s="149"/>
      <c r="U15" s="149"/>
      <c r="V15" s="150">
        <f>SUM(V3:V14)</f>
        <v>-6.0538227871763453E-3</v>
      </c>
    </row>
    <row r="16" spans="1:22">
      <c r="E16" s="13"/>
    </row>
    <row r="19" spans="1:22" ht="15" thickBot="1"/>
    <row r="20" spans="1:22" ht="19" thickBot="1">
      <c r="E20" s="188"/>
      <c r="F20" s="188"/>
      <c r="G20" s="5"/>
      <c r="H20" s="5"/>
      <c r="I20" s="188"/>
      <c r="J20" s="188"/>
      <c r="K20" s="5"/>
      <c r="L20" s="189" t="s">
        <v>86</v>
      </c>
      <c r="M20" s="190"/>
      <c r="N20" s="133">
        <f>H15+P15+V15</f>
        <v>5.3164914612555871E-3</v>
      </c>
      <c r="O20" s="5"/>
      <c r="P20" s="5"/>
      <c r="Q20" s="188"/>
      <c r="R20" s="188"/>
      <c r="S20" s="188"/>
      <c r="T20" s="188"/>
      <c r="U20" s="5"/>
      <c r="V20" s="5"/>
    </row>
    <row r="22" spans="1:22">
      <c r="A22" s="192" t="s">
        <v>134</v>
      </c>
      <c r="B22" s="192"/>
      <c r="C22" s="192"/>
      <c r="F22" s="192" t="s">
        <v>154</v>
      </c>
      <c r="G22" s="192"/>
      <c r="H22" s="192"/>
    </row>
    <row r="23" spans="1:22" ht="56">
      <c r="A23" s="96" t="s">
        <v>135</v>
      </c>
      <c r="B23" s="99" t="s">
        <v>136</v>
      </c>
      <c r="C23" s="96" t="s">
        <v>137</v>
      </c>
      <c r="F23" s="193" t="s">
        <v>155</v>
      </c>
      <c r="G23" s="193"/>
      <c r="H23" s="193"/>
    </row>
    <row r="24" spans="1:22">
      <c r="A24" s="97" t="s">
        <v>138</v>
      </c>
      <c r="B24" s="101"/>
      <c r="C24" s="98"/>
      <c r="F24" s="90" t="s">
        <v>156</v>
      </c>
      <c r="G24" s="90" t="s">
        <v>157</v>
      </c>
      <c r="H24" s="106" t="s">
        <v>169</v>
      </c>
    </row>
    <row r="25" spans="1:22">
      <c r="A25" s="91" t="s">
        <v>139</v>
      </c>
      <c r="B25" s="100">
        <v>739379.28</v>
      </c>
      <c r="C25" s="103">
        <v>0.20848092181579703</v>
      </c>
      <c r="F25" s="105" t="s">
        <v>12</v>
      </c>
      <c r="G25" s="107">
        <v>0.19309999999999999</v>
      </c>
      <c r="H25" s="109">
        <v>1.6091666666666667E-2</v>
      </c>
    </row>
    <row r="26" spans="1:22">
      <c r="A26" s="91" t="s">
        <v>108</v>
      </c>
      <c r="B26" s="92">
        <v>105821.52</v>
      </c>
      <c r="C26" s="103">
        <v>2.9838228679533459E-2</v>
      </c>
      <c r="F26" s="105" t="s">
        <v>27</v>
      </c>
      <c r="G26" s="107">
        <v>0.13739999999999999</v>
      </c>
      <c r="H26" s="109">
        <v>1.145E-2</v>
      </c>
    </row>
    <row r="27" spans="1:22">
      <c r="A27" s="91" t="s">
        <v>32</v>
      </c>
      <c r="B27" s="92">
        <v>171407.07</v>
      </c>
      <c r="C27" s="103">
        <v>4.8331221777468319E-2</v>
      </c>
      <c r="F27" s="105" t="s">
        <v>158</v>
      </c>
      <c r="G27" s="107">
        <v>0.27429999999999999</v>
      </c>
      <c r="H27" s="108">
        <v>2.2858333333333331E-2</v>
      </c>
    </row>
    <row r="28" spans="1:22">
      <c r="A28" s="94" t="s">
        <v>86</v>
      </c>
      <c r="B28" s="102">
        <v>1016607.87</v>
      </c>
      <c r="C28" s="93">
        <v>0.28665037227279877</v>
      </c>
      <c r="F28" s="105" t="s">
        <v>151</v>
      </c>
      <c r="G28" s="108" t="s">
        <v>130</v>
      </c>
      <c r="H28" s="108" t="s">
        <v>130</v>
      </c>
    </row>
    <row r="29" spans="1:22">
      <c r="A29" s="97" t="s">
        <v>140</v>
      </c>
      <c r="B29" s="101"/>
      <c r="C29" s="98"/>
      <c r="F29" s="105" t="s">
        <v>159</v>
      </c>
      <c r="G29" s="107">
        <v>0</v>
      </c>
      <c r="H29" s="108">
        <v>0</v>
      </c>
    </row>
    <row r="30" spans="1:22">
      <c r="A30" s="91" t="s">
        <v>141</v>
      </c>
      <c r="B30" s="100">
        <v>230650.73</v>
      </c>
      <c r="C30" s="103">
        <v>6.5036008052438948E-2</v>
      </c>
      <c r="F30" s="105" t="s">
        <v>29</v>
      </c>
      <c r="G30" s="107">
        <v>0.1605</v>
      </c>
      <c r="H30" s="109">
        <v>1.3375E-2</v>
      </c>
    </row>
    <row r="31" spans="1:22">
      <c r="A31" s="91" t="s">
        <v>85</v>
      </c>
      <c r="B31" s="92">
        <v>579754.43999999994</v>
      </c>
      <c r="C31" s="103">
        <v>0.16347190589111607</v>
      </c>
      <c r="F31" s="105" t="s">
        <v>108</v>
      </c>
      <c r="G31" s="107">
        <v>0.29089999999999999</v>
      </c>
      <c r="H31" s="109">
        <v>2.4241666666666665E-2</v>
      </c>
    </row>
    <row r="32" spans="1:22">
      <c r="A32" s="91" t="s">
        <v>142</v>
      </c>
      <c r="B32" s="92">
        <v>146763.22</v>
      </c>
      <c r="C32" s="93">
        <v>4.138245717983146E-2</v>
      </c>
      <c r="F32" s="105" t="s">
        <v>30</v>
      </c>
      <c r="G32" s="107">
        <v>-4.0500000000000001E-2</v>
      </c>
      <c r="H32" s="109">
        <v>-3.375E-3</v>
      </c>
    </row>
    <row r="33" spans="1:8">
      <c r="A33" s="91" t="s">
        <v>29</v>
      </c>
      <c r="B33" s="92">
        <v>299562.78000000003</v>
      </c>
      <c r="C33" s="103">
        <v>8.4466966015199679E-2</v>
      </c>
      <c r="F33" s="105" t="s">
        <v>31</v>
      </c>
      <c r="G33" s="107">
        <v>0.1096</v>
      </c>
      <c r="H33" s="109">
        <v>9.1333333333333336E-3</v>
      </c>
    </row>
    <row r="34" spans="1:8">
      <c r="A34" s="91" t="s">
        <v>28</v>
      </c>
      <c r="B34" s="92">
        <v>21158.7</v>
      </c>
      <c r="C34" s="104">
        <v>5.9660655900769955E-3</v>
      </c>
      <c r="F34" s="105" t="s">
        <v>160</v>
      </c>
      <c r="G34" s="107">
        <v>0.46560000000000001</v>
      </c>
      <c r="H34" s="109">
        <v>3.8800000000000001E-2</v>
      </c>
    </row>
    <row r="35" spans="1:8">
      <c r="A35" s="91" t="s">
        <v>35</v>
      </c>
      <c r="B35" s="92">
        <v>24651.75</v>
      </c>
      <c r="C35" s="103">
        <v>6.9509921408300408E-3</v>
      </c>
      <c r="F35" s="105" t="s">
        <v>123</v>
      </c>
      <c r="G35" s="107">
        <v>0.41399999999999998</v>
      </c>
      <c r="H35" s="109">
        <v>3.4499999999999996E-2</v>
      </c>
    </row>
    <row r="36" spans="1:8">
      <c r="A36" s="91" t="s">
        <v>143</v>
      </c>
      <c r="B36" s="92">
        <v>21294.73</v>
      </c>
      <c r="C36" s="93">
        <v>6.0044216281236705E-3</v>
      </c>
      <c r="F36" s="105" t="s">
        <v>144</v>
      </c>
      <c r="G36" s="107">
        <v>0.1197</v>
      </c>
      <c r="H36" s="108">
        <v>9.9749999999999995E-3</v>
      </c>
    </row>
    <row r="37" spans="1:8">
      <c r="A37" s="91" t="s">
        <v>144</v>
      </c>
      <c r="B37" s="92">
        <v>2909.81</v>
      </c>
      <c r="C37" s="93">
        <v>8.2047183024769679E-4</v>
      </c>
      <c r="F37" s="105" t="s">
        <v>161</v>
      </c>
      <c r="G37" s="107">
        <v>0.1038</v>
      </c>
      <c r="H37" s="108">
        <v>8.6499999999999997E-3</v>
      </c>
    </row>
    <row r="38" spans="1:8">
      <c r="A38" s="91" t="s">
        <v>27</v>
      </c>
      <c r="B38" s="92">
        <v>94268.56</v>
      </c>
      <c r="C38" s="103">
        <v>2.6580669513822146E-2</v>
      </c>
      <c r="F38" s="105" t="s">
        <v>115</v>
      </c>
      <c r="G38" s="107">
        <v>-0.34310000000000002</v>
      </c>
      <c r="H38" s="109">
        <v>-2.8591666666666668E-2</v>
      </c>
    </row>
    <row r="39" spans="1:8">
      <c r="A39" s="94" t="s">
        <v>86</v>
      </c>
      <c r="B39" s="102">
        <v>1421014.73</v>
      </c>
      <c r="C39" s="93">
        <v>0.40067996066136163</v>
      </c>
      <c r="F39" s="105" t="s">
        <v>162</v>
      </c>
      <c r="G39" s="107">
        <v>0.29239999999999999</v>
      </c>
      <c r="H39" s="108">
        <v>2.4366666666666665E-2</v>
      </c>
    </row>
    <row r="40" spans="1:8">
      <c r="A40" s="97" t="s">
        <v>145</v>
      </c>
      <c r="B40" s="101"/>
      <c r="C40" s="98"/>
      <c r="F40" s="105" t="s">
        <v>143</v>
      </c>
      <c r="G40" s="107">
        <v>2.63E-2</v>
      </c>
      <c r="H40" s="108">
        <v>2.1916666666666668E-3</v>
      </c>
    </row>
    <row r="41" spans="1:8">
      <c r="A41" s="91" t="s">
        <v>146</v>
      </c>
      <c r="B41" s="100">
        <v>29623.71</v>
      </c>
      <c r="C41" s="93">
        <v>8.3529232363717901E-3</v>
      </c>
      <c r="F41" s="105" t="s">
        <v>85</v>
      </c>
      <c r="G41" s="107">
        <v>0.1167</v>
      </c>
      <c r="H41" s="109">
        <v>9.7249999999999993E-3</v>
      </c>
    </row>
    <row r="42" spans="1:8">
      <c r="A42" s="91" t="s">
        <v>31</v>
      </c>
      <c r="B42" s="92">
        <v>293201.24</v>
      </c>
      <c r="C42" s="103">
        <v>8.2673218531001749E-2</v>
      </c>
      <c r="F42" s="105" t="s">
        <v>163</v>
      </c>
      <c r="G42" s="107">
        <v>0.3735</v>
      </c>
      <c r="H42" s="108">
        <v>3.1125E-2</v>
      </c>
    </row>
    <row r="43" spans="1:8">
      <c r="A43" s="91" t="s">
        <v>147</v>
      </c>
      <c r="B43" s="92">
        <v>27881.07</v>
      </c>
      <c r="C43" s="93">
        <v>7.8615554047048262E-3</v>
      </c>
      <c r="F43" s="105" t="s">
        <v>164</v>
      </c>
      <c r="G43" s="107">
        <v>0.17899999999999999</v>
      </c>
      <c r="H43" s="109">
        <v>1.4916666666666667E-2</v>
      </c>
    </row>
    <row r="44" spans="1:8">
      <c r="A44" s="91" t="s">
        <v>148</v>
      </c>
      <c r="B44" s="92">
        <v>31765.89</v>
      </c>
      <c r="C44" s="103">
        <v>8.9569483601152685E-3</v>
      </c>
      <c r="F44" s="105" t="s">
        <v>34</v>
      </c>
      <c r="G44" s="107">
        <v>-1.04E-2</v>
      </c>
      <c r="H44" s="109">
        <v>-8.6666666666666663E-4</v>
      </c>
    </row>
    <row r="45" spans="1:8">
      <c r="A45" s="91" t="s">
        <v>34</v>
      </c>
      <c r="B45" s="92">
        <v>514212.95</v>
      </c>
      <c r="C45" s="103">
        <v>0.14499133628091437</v>
      </c>
      <c r="F45" s="105" t="s">
        <v>142</v>
      </c>
      <c r="G45" s="107">
        <v>0.32420000000000004</v>
      </c>
      <c r="H45" s="108">
        <v>2.7016666666666671E-2</v>
      </c>
    </row>
    <row r="46" spans="1:8">
      <c r="A46" s="91" t="s">
        <v>149</v>
      </c>
      <c r="B46" s="92">
        <v>35127.01</v>
      </c>
      <c r="C46" s="93">
        <v>9.9046749395421529E-3</v>
      </c>
      <c r="F46" s="105" t="s">
        <v>165</v>
      </c>
      <c r="G46" s="107">
        <v>0.10289999999999999</v>
      </c>
      <c r="H46" s="108">
        <v>8.5749999999999993E-3</v>
      </c>
    </row>
    <row r="47" spans="1:8">
      <c r="A47" s="91" t="s">
        <v>115</v>
      </c>
      <c r="B47" s="92">
        <v>136669.10999999999</v>
      </c>
      <c r="C47" s="103">
        <v>3.8536246291003121E-2</v>
      </c>
      <c r="F47" s="89"/>
      <c r="G47" s="89"/>
      <c r="H47" s="89"/>
    </row>
    <row r="48" spans="1:8" ht="14.5" customHeight="1">
      <c r="A48" s="94" t="s">
        <v>86</v>
      </c>
      <c r="B48" s="102">
        <v>1068480.97</v>
      </c>
      <c r="C48" s="93">
        <v>0.30127690022397835</v>
      </c>
      <c r="F48" s="194" t="s">
        <v>166</v>
      </c>
      <c r="G48" s="194"/>
      <c r="H48" s="194"/>
    </row>
    <row r="49" spans="1:8">
      <c r="A49" s="97" t="s">
        <v>150</v>
      </c>
      <c r="B49" s="101"/>
      <c r="C49" s="98"/>
      <c r="F49" s="194"/>
      <c r="G49" s="194"/>
      <c r="H49" s="194"/>
    </row>
    <row r="50" spans="1:8">
      <c r="A50" s="91" t="s">
        <v>151</v>
      </c>
      <c r="B50" s="100">
        <v>40404.54</v>
      </c>
      <c r="C50" s="93">
        <v>1.1392766841861248E-2</v>
      </c>
    </row>
    <row r="51" spans="1:8">
      <c r="A51" s="94" t="s">
        <v>86</v>
      </c>
      <c r="B51" s="95">
        <v>40404.54</v>
      </c>
      <c r="C51" s="93">
        <v>1.1392766841861248E-2</v>
      </c>
    </row>
    <row r="52" spans="1:8">
      <c r="A52" s="134" t="s">
        <v>152</v>
      </c>
      <c r="B52" s="135">
        <v>3546508.11</v>
      </c>
      <c r="C52" s="136">
        <v>1</v>
      </c>
    </row>
    <row r="53" spans="1:8">
      <c r="A53" s="89"/>
      <c r="B53" s="89"/>
      <c r="C53" s="89"/>
    </row>
    <row r="54" spans="1:8">
      <c r="A54" s="187" t="s">
        <v>153</v>
      </c>
      <c r="B54" s="187"/>
      <c r="C54" s="187"/>
    </row>
  </sheetData>
  <mergeCells count="12">
    <mergeCell ref="A54:C54"/>
    <mergeCell ref="I20:J20"/>
    <mergeCell ref="L20:M20"/>
    <mergeCell ref="Q20:T20"/>
    <mergeCell ref="B1:H1"/>
    <mergeCell ref="J1:P1"/>
    <mergeCell ref="R1:V1"/>
    <mergeCell ref="A22:C22"/>
    <mergeCell ref="F23:H23"/>
    <mergeCell ref="F22:H22"/>
    <mergeCell ref="F48:H49"/>
    <mergeCell ref="E20:F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Stock Selection</vt:lpstr>
      <vt:lpstr>Price Data</vt:lpstr>
      <vt:lpstr>Cash Dividend</vt:lpstr>
      <vt:lpstr>Stock Dividend</vt:lpstr>
      <vt:lpstr>Right Share Ratio</vt:lpstr>
      <vt:lpstr>Right Share Offer Price</vt:lpstr>
      <vt:lpstr>Split</vt:lpstr>
      <vt:lpstr>Dividend Yield</vt:lpstr>
      <vt:lpstr>Capital Gain</vt:lpstr>
      <vt:lpstr>Total Return</vt:lpstr>
      <vt:lpstr>Covariance</vt:lpstr>
      <vt:lpstr>Equal Weight</vt:lpstr>
      <vt:lpstr>SS &amp; RF Allowed</vt:lpstr>
      <vt:lpstr>SS not allowed, RF allowed</vt:lpstr>
      <vt:lpstr>SS allowed, No RF</vt:lpstr>
      <vt:lpstr>No SS, No RF</vt:lpstr>
      <vt:lpstr>Evaluation</vt:lpstr>
      <vt:lpstr>Attribution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Billal</dc:creator>
  <cp:lastModifiedBy>Dell</cp:lastModifiedBy>
  <dcterms:created xsi:type="dcterms:W3CDTF">2019-11-01T08:19:50Z</dcterms:created>
  <dcterms:modified xsi:type="dcterms:W3CDTF">2026-10-25T20:00:58Z</dcterms:modified>
</cp:coreProperties>
</file>